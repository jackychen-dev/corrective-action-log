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ustomProperty1.bin" ContentType="application/vnd.openxmlformats-officedocument.spreadsheetml.customProperty"/>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ustomProperty2.bin" ContentType="application/vnd.openxmlformats-officedocument.spreadsheetml.customProperty"/>
  <Override PartName="/xl/drawings/drawing2.xml" ContentType="application/vnd.openxmlformats-officedocument.drawing+xml"/>
  <Override PartName="/xl/customProperty3.bin" ContentType="application/vnd.openxmlformats-officedocument.spreadsheetml.customProperty"/>
  <Override PartName="/xl/drawings/drawing3.xml" ContentType="application/vnd.openxmlformats-officedocument.drawing+xml"/>
  <Override PartName="/xl/customProperty4.bin" ContentType="application/vnd.openxmlformats-officedocument.spreadsheetml.customProperty"/>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mc:AlternateContent xmlns:mc="http://schemas.openxmlformats.org/markup-compatibility/2006">
    <mc:Choice Requires="x15">
      <x15ac:absPath xmlns:x15ac="http://schemas.microsoft.com/office/spreadsheetml/2010/11/ac" url="C:\Users\ycheng\Documents\Initives\"/>
    </mc:Choice>
  </mc:AlternateContent>
  <xr:revisionPtr revIDLastSave="0" documentId="13_ncr:1_{5A58DD86-CDB4-4874-9332-8506BF069200}" xr6:coauthVersionLast="47" xr6:coauthVersionMax="47" xr10:uidLastSave="{00000000-0000-0000-0000-000000000000}"/>
  <bookViews>
    <workbookView xWindow="28680" yWindow="-120" windowWidth="29040" windowHeight="15720" activeTab="1" xr2:uid="{00000000-000D-0000-FFFF-FFFF00000000}"/>
  </bookViews>
  <sheets>
    <sheet name="2025" sheetId="1" r:id="rId1"/>
    <sheet name="AUTO QUALITY ALERT FORM" sheetId="7" r:id="rId2"/>
    <sheet name="HIDE (BACK UP AUTO FORM)" sheetId="6" state="hidden" r:id="rId3"/>
    <sheet name="Lists" sheetId="3" state="hidden" r:id="rId4"/>
  </sheets>
  <externalReferences>
    <externalReference r:id="rId5"/>
    <externalReference r:id="rId6"/>
    <externalReference r:id="rId7"/>
    <externalReference r:id="rId8"/>
    <externalReference r:id="rId9"/>
    <externalReference r:id="rId10"/>
  </externalReferences>
  <definedNames>
    <definedName name="_19_149">'[1]Supplier NC LOG'!#REF!</definedName>
    <definedName name="_xlnm._FilterDatabase" localSheetId="0" hidden="1">'2025'!$A$1:$S$1012</definedName>
    <definedName name="AlertRange">'2025'!$B$2:$T$1085</definedName>
    <definedName name="Amsted">'[1]Supplier NC LOG'!#REF!</definedName>
    <definedName name="cat">[2]Lists!$B$4:$B$15</definedName>
    <definedName name="Cust">[2]Lists!$B$44:$B$49</definedName>
    <definedName name="Dtype">#REF!</definedName>
    <definedName name="jkl">'[3]NCR LOG'!#REF!</definedName>
    <definedName name="jlkh">'[4]NCR LOG'!$B:$B</definedName>
    <definedName name="part">[2]Lists!$B$26:$B$36</definedName>
    <definedName name="Plant">'[1]Supplier NC LOG'!#REF!</definedName>
    <definedName name="_xlnm.Print_Area" localSheetId="1">'AUTO QUALITY ALERT FORM'!$A$1:$G$50</definedName>
    <definedName name="_xlnm.Print_Area" localSheetId="2">'HIDE (BACK UP AUTO FORM)'!$A$5:$G$52</definedName>
    <definedName name="_xlnm.Print_Titles" localSheetId="0">'2025'!$1:$2</definedName>
    <definedName name="TODAY">[5]Log!$C$4</definedName>
    <definedName name="type">[6]Lists!#REF!</definedName>
    <definedName name="yn">[2]Lists!$B$51:$B$52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7" l="1"/>
  <c r="C1" i="7"/>
  <c r="C19" i="7"/>
  <c r="G19" i="7"/>
  <c r="G23" i="6" l="1"/>
  <c r="E13" i="6"/>
  <c r="A13" i="6"/>
  <c r="F10" i="6"/>
  <c r="C10" i="6"/>
  <c r="F9" i="6"/>
  <c r="C9" i="6"/>
  <c r="F8" i="6"/>
  <c r="C8" i="6"/>
  <c r="F7" i="6"/>
  <c r="C7" i="6"/>
  <c r="F680" i="1"/>
  <c r="F48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Jackie MacArthur</author>
  </authors>
  <commentList>
    <comment ref="N45" authorId="0" shapeId="0" xr:uid="{00000000-0006-0000-0000-000001000000}">
      <text>
        <r>
          <rPr>
            <b/>
            <sz val="9"/>
            <color indexed="81"/>
            <rFont val="Tahoma"/>
            <family val="2"/>
          </rPr>
          <t>Jackie MacArthur:</t>
        </r>
        <r>
          <rPr>
            <sz val="9"/>
            <color indexed="81"/>
            <rFont val="Tahoma"/>
            <family val="2"/>
          </rPr>
          <t xml:space="preserve">
1 copy in Stratford
1 copy in Woodstock</t>
        </r>
      </text>
    </comment>
    <comment ref="N46" authorId="0" shapeId="0" xr:uid="{00000000-0006-0000-0000-000002000000}">
      <text>
        <r>
          <rPr>
            <b/>
            <sz val="9"/>
            <color indexed="81"/>
            <rFont val="Tahoma"/>
            <family val="2"/>
          </rPr>
          <t>Jackie MacArthur:</t>
        </r>
        <r>
          <rPr>
            <sz val="9"/>
            <color indexed="81"/>
            <rFont val="Tahoma"/>
            <family val="2"/>
          </rPr>
          <t xml:space="preserve">
1 copy in Stratford
1 copy in Woodstock</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<sst xmlns="http://schemas.openxmlformats.org/spreadsheetml/2006/main" count="10346" uniqueCount="4084">
  <si>
    <t>Column1</t>
  </si>
  <si>
    <t>Column2</t>
  </si>
  <si>
    <t>Column3</t>
  </si>
  <si>
    <t>Column4</t>
  </si>
  <si>
    <t>Quality Alert Form
PRINT ON PINK PAPER</t>
  </si>
  <si>
    <r>
      <t>Change Alert Form</t>
    </r>
    <r>
      <rPr>
        <sz val="10"/>
        <color theme="10"/>
        <rFont val="Calibri"/>
        <family val="2"/>
        <scheme val="minor"/>
      </rPr>
      <t xml:space="preserve">
PRINT ON BLUE PAPER</t>
    </r>
  </si>
  <si>
    <t>2025</t>
  </si>
  <si>
    <t>Alert Log</t>
  </si>
  <si>
    <t>Column5</t>
  </si>
  <si>
    <t>Column6</t>
  </si>
  <si>
    <t>Column7</t>
  </si>
  <si>
    <t>Column8</t>
  </si>
  <si>
    <t>Column9</t>
  </si>
  <si>
    <t>Column10</t>
  </si>
  <si>
    <t>Column11</t>
  </si>
  <si>
    <t>Column12</t>
  </si>
  <si>
    <t>12-Aug-25</t>
  </si>
  <si>
    <t>Column13</t>
  </si>
  <si>
    <t>Column14</t>
  </si>
  <si>
    <t>Alert #</t>
  </si>
  <si>
    <t>Location</t>
  </si>
  <si>
    <t>Where Found</t>
  </si>
  <si>
    <t>Alert Type</t>
  </si>
  <si>
    <t>Date Issued</t>
  </si>
  <si>
    <t>End Date</t>
  </si>
  <si>
    <r>
      <t xml:space="preserve">Customer
</t>
    </r>
    <r>
      <rPr>
        <i/>
        <sz val="14"/>
        <color theme="0"/>
        <rFont val="Calibri"/>
        <family val="2"/>
        <scheme val="minor"/>
      </rPr>
      <t>(if applicable)</t>
    </r>
  </si>
  <si>
    <t>Part Number 
or Process</t>
  </si>
  <si>
    <t>Defect Category</t>
  </si>
  <si>
    <r>
      <t xml:space="preserve">Department
</t>
    </r>
    <r>
      <rPr>
        <i/>
        <sz val="14"/>
        <color theme="0"/>
        <rFont val="Calibri"/>
        <family val="2"/>
        <scheme val="minor"/>
      </rPr>
      <t>(if applicable)</t>
    </r>
  </si>
  <si>
    <r>
      <t xml:space="preserve">NCR / ECN / CCR #
</t>
    </r>
    <r>
      <rPr>
        <i/>
        <sz val="14"/>
        <color theme="0"/>
        <rFont val="Calibri"/>
        <family val="2"/>
        <scheme val="minor"/>
      </rPr>
      <t>(if applicable)</t>
    </r>
  </si>
  <si>
    <t>Issue</t>
  </si>
  <si>
    <t>Issued By</t>
  </si>
  <si>
    <t># of Copies 
Issued</t>
  </si>
  <si>
    <t>Sign off copies returned</t>
  </si>
  <si>
    <t>Correction Comment</t>
  </si>
  <si>
    <t>Copies
Taken Down Following End Date</t>
  </si>
  <si>
    <t>Signed copies scanned and saved</t>
  </si>
  <si>
    <t>16-001</t>
  </si>
  <si>
    <t>Stratford</t>
  </si>
  <si>
    <t>Quality Alert</t>
  </si>
  <si>
    <t>Rodgard</t>
  </si>
  <si>
    <t>Fuel Tanks</t>
  </si>
  <si>
    <t>N/A</t>
  </si>
  <si>
    <t>TBD</t>
  </si>
  <si>
    <t>Metal shavings / chips, contamination in tanks from thread chasing.</t>
  </si>
  <si>
    <t>Yes</t>
  </si>
  <si>
    <t>16-002</t>
  </si>
  <si>
    <t>Woodstock</t>
  </si>
  <si>
    <t>Haver &amp; Boecker</t>
  </si>
  <si>
    <t>Base Frame &amp; Supports</t>
  </si>
  <si>
    <t>Production</t>
  </si>
  <si>
    <t>Base Frame 204761509 and Supports . Scratches, missing paint on supports, road salt</t>
  </si>
  <si>
    <t>17-001</t>
  </si>
  <si>
    <t>Cambridge</t>
  </si>
  <si>
    <t>Lift King</t>
  </si>
  <si>
    <t>96100 (10MP Frame)</t>
  </si>
  <si>
    <t>Weld</t>
  </si>
  <si>
    <t>NCR 17-033</t>
  </si>
  <si>
    <t>Sub assembly #93508 on 10MP frame was installed opposite to drawing. Part #93509 and 93510 were installed opposite to print specifications</t>
  </si>
  <si>
    <t>17-002</t>
  </si>
  <si>
    <t>Roll Form</t>
  </si>
  <si>
    <t>13477 (Clevis Connector Rod)</t>
  </si>
  <si>
    <t>NCR17-049</t>
  </si>
  <si>
    <t>Pinholes.</t>
  </si>
  <si>
    <t>17-003</t>
  </si>
  <si>
    <r>
      <t xml:space="preserve">107032
</t>
    </r>
    <r>
      <rPr>
        <sz val="8"/>
        <color theme="1"/>
        <rFont val="Calibri"/>
        <family val="2"/>
        <scheme val="minor"/>
      </rPr>
      <t>(Low Profile OHG Propane Weldment)</t>
    </r>
  </si>
  <si>
    <t>Welded downward, causing bracket to slope downward.</t>
  </si>
  <si>
    <t>17-004</t>
  </si>
  <si>
    <r>
      <t xml:space="preserve">CDE-13797
</t>
    </r>
    <r>
      <rPr>
        <sz val="8"/>
        <color theme="1"/>
        <rFont val="Calibri"/>
        <family val="2"/>
        <scheme val="minor"/>
      </rPr>
      <t>(Crank &amp; Pipe Connection Assembly)</t>
    </r>
  </si>
  <si>
    <t>Missing Clevis Casting.</t>
  </si>
  <si>
    <t>17-005</t>
  </si>
  <si>
    <t>Komatsu</t>
  </si>
  <si>
    <t>58B8040180 (Cover)</t>
  </si>
  <si>
    <t>NCR 17-055</t>
  </si>
  <si>
    <t>One MM0575 weld nut has not been centered to hole &amp; held flat against plate surface. Will not allow thread gauge to thread into nut.</t>
  </si>
  <si>
    <t>17-006</t>
  </si>
  <si>
    <t>58F5410182 (Decks)</t>
  </si>
  <si>
    <t>NCR 17-006</t>
  </si>
  <si>
    <t>EK2529 Bracket located off location.</t>
  </si>
  <si>
    <t>17-007</t>
  </si>
  <si>
    <r>
      <t xml:space="preserve">EJ8296
</t>
    </r>
    <r>
      <rPr>
        <sz val="8"/>
        <color theme="1"/>
        <rFont val="Calibri"/>
        <family val="2"/>
        <scheme val="minor"/>
      </rPr>
      <t>(Base STR MMS Components)</t>
    </r>
  </si>
  <si>
    <t>Machining</t>
  </si>
  <si>
    <t>NCR 17-019
NCR 17-020
NCR 17-021</t>
  </si>
  <si>
    <t>Threaded holes in SM2863 Plate at bottom of pedestal measure 6mm. One should be 5mm and four should be 4mm.</t>
  </si>
  <si>
    <t>17-008</t>
  </si>
  <si>
    <r>
      <t xml:space="preserve">13645
</t>
    </r>
    <r>
      <rPr>
        <sz val="8"/>
        <color theme="1"/>
        <rFont val="Calibri"/>
        <family val="2"/>
        <scheme val="minor"/>
      </rPr>
      <t>(Auxiliary Crank Assembly)</t>
    </r>
  </si>
  <si>
    <t>Roll pin not installed.</t>
  </si>
  <si>
    <t>17-009</t>
  </si>
  <si>
    <t>Cab Frames</t>
  </si>
  <si>
    <t>Large bow in the side pods near the seat assembly.</t>
  </si>
  <si>
    <t>17-010</t>
  </si>
  <si>
    <r>
      <t xml:space="preserve">13796
</t>
    </r>
    <r>
      <rPr>
        <sz val="8"/>
        <color theme="1"/>
        <rFont val="Calibri"/>
        <family val="2"/>
        <scheme val="minor"/>
      </rPr>
      <t>(Crank &amp; Pipe Connection Assembly)</t>
    </r>
  </si>
  <si>
    <t>Missing weld on Crank and Pipe connection</t>
  </si>
  <si>
    <t>17-011</t>
  </si>
  <si>
    <t>13733 Crank &amp;Extension</t>
  </si>
  <si>
    <t>Missing washers on assembly</t>
  </si>
  <si>
    <t>17-012</t>
  </si>
  <si>
    <t>Crank Assemblies</t>
  </si>
  <si>
    <t xml:space="preserve">Weld </t>
  </si>
  <si>
    <t>Weld spatter on product</t>
  </si>
  <si>
    <t>17-013</t>
  </si>
  <si>
    <t>Door Paint Issues</t>
  </si>
  <si>
    <t>Paint</t>
  </si>
  <si>
    <t>Doors have dust in the paint</t>
  </si>
  <si>
    <t>17-014</t>
  </si>
  <si>
    <t>Weld issues</t>
  </si>
  <si>
    <t>Uneven weld at the start and stop</t>
  </si>
  <si>
    <t>17-015</t>
  </si>
  <si>
    <t>GDLS</t>
  </si>
  <si>
    <t>Strut Tubes</t>
  </si>
  <si>
    <t>17-101</t>
  </si>
  <si>
    <t>7mm welds undersized.</t>
  </si>
  <si>
    <t>17-016</t>
  </si>
  <si>
    <t>10729714-001</t>
  </si>
  <si>
    <t>17-104</t>
  </si>
  <si>
    <t>Material thickness below tolerance.  Print specifies 31.75 +/-0.41; actual measures 30.3 to 30.5mm</t>
  </si>
  <si>
    <t>17-017</t>
  </si>
  <si>
    <t>Change Alert</t>
  </si>
  <si>
    <r>
      <t xml:space="preserve">Product Identification &amp; Traceability </t>
    </r>
    <r>
      <rPr>
        <sz val="9"/>
        <color theme="1"/>
        <rFont val="Calibri"/>
        <family val="2"/>
        <scheme val="minor"/>
      </rPr>
      <t>(Date Code Stamping)</t>
    </r>
  </si>
  <si>
    <t>Various</t>
  </si>
  <si>
    <t>N/A
(Specification Issuance)</t>
  </si>
  <si>
    <t>Rev 0 - initial release of Komatsu Supplier Quality Product Identification &amp; Traceability document.  Updates to date code stamping requirements.  Previous "unofficial" memo dated 12/05/2013 Rev. 2.</t>
  </si>
  <si>
    <t>17-018</t>
  </si>
  <si>
    <t>17-019</t>
  </si>
  <si>
    <r>
      <t xml:space="preserve">LS1131772
</t>
    </r>
    <r>
      <rPr>
        <sz val="10"/>
        <color theme="1"/>
        <rFont val="Calibri"/>
        <family val="2"/>
        <scheme val="minor"/>
      </rPr>
      <t>(Strut Supports)</t>
    </r>
  </si>
  <si>
    <t>17-110</t>
  </si>
  <si>
    <t>Weld defects (grind flush requirement) - reinforcement exceeding 1mm; actually measures 2-3mm</t>
  </si>
  <si>
    <t>17-020</t>
  </si>
  <si>
    <t>Left Hand Long Bars</t>
  </si>
  <si>
    <t xml:space="preserve">Part measures 2 inchs small </t>
  </si>
  <si>
    <t>17-021</t>
  </si>
  <si>
    <t>XB4572</t>
  </si>
  <si>
    <t>Measurement to locate part #EF4842 was taken from the wrong location making the 50mm out of location</t>
  </si>
  <si>
    <t>17-022</t>
  </si>
  <si>
    <t>Cabs</t>
  </si>
  <si>
    <t>Welds are hot resulting in excessive concaving</t>
  </si>
  <si>
    <t>17-023</t>
  </si>
  <si>
    <t>17-195</t>
  </si>
  <si>
    <t>Two extra plates installed on cab that are required as shouwn in sub assembly EL1196</t>
  </si>
  <si>
    <t>17-024</t>
  </si>
  <si>
    <t>N/A - All Customers</t>
  </si>
  <si>
    <t>Paint Process</t>
  </si>
  <si>
    <t>17-124</t>
  </si>
  <si>
    <t>Changes to paint colour verification process.</t>
  </si>
  <si>
    <t>17-025</t>
  </si>
  <si>
    <t>Washer missing Part#12839</t>
  </si>
  <si>
    <t>17-026</t>
  </si>
  <si>
    <t>13645 Crank Assembly</t>
  </si>
  <si>
    <t>Roll pin not installed on 50pcs</t>
  </si>
  <si>
    <t>17-027</t>
  </si>
  <si>
    <t>All Strut Tubes</t>
  </si>
  <si>
    <t>Grind Flush requirement for Strut Tubes not per AWS D1.1 specification</t>
  </si>
  <si>
    <t>17-028</t>
  </si>
  <si>
    <t>58D5401880</t>
  </si>
  <si>
    <t>17-319</t>
  </si>
  <si>
    <t>Item #35 (2pcs) of rear of cabinet installed off location</t>
  </si>
  <si>
    <t>17-029</t>
  </si>
  <si>
    <t>13796/13797</t>
  </si>
  <si>
    <t>C17-071 Roll Form</t>
  </si>
  <si>
    <t xml:space="preserve">Multiple weld defects </t>
  </si>
  <si>
    <t>17-030</t>
  </si>
  <si>
    <t>XB1928</t>
  </si>
  <si>
    <t>Tapped pads off location</t>
  </si>
  <si>
    <t>17-031</t>
  </si>
  <si>
    <t>Two studs on top panel of cabinet out of location 30mm</t>
  </si>
  <si>
    <t>17-032</t>
  </si>
  <si>
    <t>58D8021150</t>
  </si>
  <si>
    <t>missing welds in M-14 &amp; M-17</t>
  </si>
  <si>
    <t>17-033</t>
  </si>
  <si>
    <t>58B4600970</t>
  </si>
  <si>
    <t>Missing two EJ4587 brackets</t>
  </si>
  <si>
    <t>17-034</t>
  </si>
  <si>
    <t>58E5421831</t>
  </si>
  <si>
    <t>EK5386 bent plate istalled 50mm off location</t>
  </si>
  <si>
    <t>17-035</t>
  </si>
  <si>
    <t>Part measured at wrong location has caused 4 parts to be off location</t>
  </si>
  <si>
    <t>17-036</t>
  </si>
  <si>
    <t>Tapped pad on rear of cabinet installed off location</t>
  </si>
  <si>
    <t>17-037</t>
  </si>
  <si>
    <t>100500/85040</t>
  </si>
  <si>
    <t>17-464/473/474</t>
  </si>
  <si>
    <t>Paint contamination/dust and dirt in paint</t>
  </si>
  <si>
    <t>17-038</t>
  </si>
  <si>
    <t>58F4640092</t>
  </si>
  <si>
    <t>933688/NCR17-492</t>
  </si>
  <si>
    <t>Main tube was clocked out of location causing the top not to bolt to the cab correctly</t>
  </si>
  <si>
    <t>17-039</t>
  </si>
  <si>
    <t>Temporary elimination of bevel landing (all sides) for trial purposes</t>
  </si>
  <si>
    <t>17-040</t>
  </si>
  <si>
    <t>58F8049400</t>
  </si>
  <si>
    <t>17-549</t>
  </si>
  <si>
    <t>Weld Nuts installed on incorrect side of Plate</t>
  </si>
  <si>
    <t>17-041</t>
  </si>
  <si>
    <t>EK4381</t>
  </si>
  <si>
    <t>17-590</t>
  </si>
  <si>
    <t>EK4380 and EL0154 Plates reversed</t>
  </si>
  <si>
    <t>17-042</t>
  </si>
  <si>
    <t>17-591</t>
  </si>
  <si>
    <t>EK4380 and EL0154 Plates not welded per print; tacked only, should be all the way around</t>
  </si>
  <si>
    <t>17-043</t>
  </si>
  <si>
    <t>TY1537</t>
  </si>
  <si>
    <t>Bevel</t>
  </si>
  <si>
    <t>Missing bevel operation</t>
  </si>
  <si>
    <t>17-044</t>
  </si>
  <si>
    <t>Doors</t>
  </si>
  <si>
    <t>Paint spatter on grease fittings &amp; rolling housing wheel</t>
  </si>
  <si>
    <t>17-045</t>
  </si>
  <si>
    <t>Wash/Paint</t>
  </si>
  <si>
    <t>Rust spots</t>
  </si>
  <si>
    <t>17-046</t>
  </si>
  <si>
    <t>58C3200451</t>
  </si>
  <si>
    <t>17-607 / 17-643</t>
  </si>
  <si>
    <t>Excessive paint on interior of Catch Tank (running out of the bored holes)</t>
  </si>
  <si>
    <t>17-047</t>
  </si>
  <si>
    <t>58D8084071</t>
  </si>
  <si>
    <t>17-678</t>
  </si>
  <si>
    <t>58D0604010 Sub Assy missing components (EC4668 Formed Rod).</t>
  </si>
  <si>
    <t>18-001</t>
  </si>
  <si>
    <t>18-053</t>
  </si>
  <si>
    <t>Missing product ID stamping.  Multiple part numbers</t>
  </si>
  <si>
    <t>18-002</t>
  </si>
  <si>
    <t>58F5410184</t>
  </si>
  <si>
    <t>Parts off location</t>
  </si>
  <si>
    <t>18-003</t>
  </si>
  <si>
    <t>X830006674</t>
  </si>
  <si>
    <t>Komatsu is inspecting and management auditing all new tier 4 cabs during this new launch period and finding some very concerning issues.</t>
  </si>
  <si>
    <t>18-004</t>
  </si>
  <si>
    <t>58F4600781</t>
  </si>
  <si>
    <t>Press shop</t>
  </si>
  <si>
    <t>Part number was stamped on the wrong part number</t>
  </si>
  <si>
    <t>18-005</t>
  </si>
  <si>
    <t>X830002515</t>
  </si>
  <si>
    <t>SM0963 tapped pads are not parallel resulting in the steering column to not sit square in the cab</t>
  </si>
  <si>
    <t>18-006</t>
  </si>
  <si>
    <t>58E5415502</t>
  </si>
  <si>
    <t>Deck is missing 6 MM0576 nuts on the dimpled plate</t>
  </si>
  <si>
    <t>18-007</t>
  </si>
  <si>
    <t xml:space="preserve">ALL  </t>
  </si>
  <si>
    <t xml:space="preserve">Undersized welds </t>
  </si>
  <si>
    <t>18-008</t>
  </si>
  <si>
    <t>Bolt and nut weld spec when not specified on drawing</t>
  </si>
  <si>
    <t>18-009</t>
  </si>
  <si>
    <t>X830003310</t>
  </si>
  <si>
    <t>89.1mm dimension for throttle plate not held</t>
  </si>
  <si>
    <t>18-010</t>
  </si>
  <si>
    <t>58E0618003</t>
  </si>
  <si>
    <t>Interior side of door hinges painted white</t>
  </si>
  <si>
    <t>18-011</t>
  </si>
  <si>
    <t>Q2017100</t>
  </si>
  <si>
    <t>Conference call</t>
  </si>
  <si>
    <t>Multiple issues discussed in conference call (under-cut, cold welds, door closure)</t>
  </si>
  <si>
    <t>18-012</t>
  </si>
  <si>
    <t>Mack Defense</t>
  </si>
  <si>
    <t>Shipping</t>
  </si>
  <si>
    <t>No Mack Defence parts ship without a signed green tag</t>
  </si>
  <si>
    <t>18-013</t>
  </si>
  <si>
    <t>58B5422831</t>
  </si>
  <si>
    <t>Lower mounts off location 17mm</t>
  </si>
  <si>
    <t>18-014</t>
  </si>
  <si>
    <t>Two cabs had the steering mounting bracket plate installed 180 degrees off location</t>
  </si>
  <si>
    <t>18-015</t>
  </si>
  <si>
    <t>Louvers are held oin line with each other</t>
  </si>
  <si>
    <t>18-016</t>
  </si>
  <si>
    <t>58E5426000</t>
  </si>
  <si>
    <t>TY9660 bracket at rear wall of cabinet off location, print dimensions 568.3mm actual is 565mm hoist pivot valve hooks to hard tube and bolts will not go through holes</t>
  </si>
  <si>
    <t>18-017</t>
  </si>
  <si>
    <t>Tapped pad for mounting hand rail off location</t>
  </si>
  <si>
    <t>18-018</t>
  </si>
  <si>
    <t>LH top of dash missing tapped seat for blower duct installation</t>
  </si>
  <si>
    <t>18-019</t>
  </si>
  <si>
    <t>X820006674</t>
  </si>
  <si>
    <t>58E5411133 cradle mounts for braked box off location</t>
  </si>
  <si>
    <t>18-020</t>
  </si>
  <si>
    <t>XB6500</t>
  </si>
  <si>
    <t>NCR18-142 / 1819412</t>
  </si>
  <si>
    <t>Excess welded material found in the drain hole, preventing drain plug from screwing in</t>
  </si>
  <si>
    <t>18-021</t>
  </si>
  <si>
    <t>12mm weld repeatedly being done undersized</t>
  </si>
  <si>
    <t>18-022</t>
  </si>
  <si>
    <t>Midland</t>
  </si>
  <si>
    <t>SP-784</t>
  </si>
  <si>
    <t>18-161</t>
  </si>
  <si>
    <t>4 HXN-3/4-10 Hex Nuts off location - not centered over holes in S-456 Horizontal Upper Rear Tube.</t>
  </si>
  <si>
    <t>18-023</t>
  </si>
  <si>
    <t>Customer phone call</t>
  </si>
  <si>
    <t>Welds around the foot are causing a b problem with potting the bolts in at final assembly at Prevost</t>
  </si>
  <si>
    <t>18-024</t>
  </si>
  <si>
    <t>XC3745</t>
  </si>
  <si>
    <t>18-171, 18-172</t>
  </si>
  <si>
    <t>145mm +/- 1.5mm dimension off location</t>
  </si>
  <si>
    <t>18-025</t>
  </si>
  <si>
    <t>Q2017196</t>
  </si>
  <si>
    <t>Parts</t>
  </si>
  <si>
    <t>ECN 18-1277</t>
  </si>
  <si>
    <t>See ECN</t>
  </si>
  <si>
    <t>18-026</t>
  </si>
  <si>
    <t>Q2017266</t>
  </si>
  <si>
    <t>18-027</t>
  </si>
  <si>
    <t>58E5414363</t>
  </si>
  <si>
    <t>18-196</t>
  </si>
  <si>
    <t>Incorrect stamping. Dimensional errors. Insufficient welding on underside of several gussets (items #43,44,45). Incorrect stitch spacing. Excessive material (+10%) removed from several areas.</t>
  </si>
  <si>
    <t>18-028</t>
  </si>
  <si>
    <t>Part B027268 is being trimmed resulting in Platform assembly dimension to be undersized. Will not fit Camonet unit</t>
  </si>
  <si>
    <t>18-029</t>
  </si>
  <si>
    <t>Decks</t>
  </si>
  <si>
    <t>Decks have oil canning material distortion sand flatness issues</t>
  </si>
  <si>
    <t>18-030</t>
  </si>
  <si>
    <t>PPAP (Sample WO)</t>
  </si>
  <si>
    <t>New requirement to have all PPAP product photographed after packaging and on the truck ready to ship.</t>
  </si>
  <si>
    <t>18-031</t>
  </si>
  <si>
    <t>TY8075</t>
  </si>
  <si>
    <t>18-210</t>
  </si>
  <si>
    <t>Light paint in various areas.  Yellow primer can be seen through the white paint.</t>
  </si>
  <si>
    <t>18-032</t>
  </si>
  <si>
    <t>Missing welds underneath Camonet</t>
  </si>
  <si>
    <t>18-033</t>
  </si>
  <si>
    <t>Assembly</t>
  </si>
  <si>
    <t>18-212</t>
  </si>
  <si>
    <t>X830006674 Cabs assembled with 58E9800711 Wiper Nozzles at incorrect revision level (4 orifices instead of 2 as per drawing rev 02 change on 58E9800711 - dated 31-Jan-18).</t>
  </si>
  <si>
    <t>18-034</t>
  </si>
  <si>
    <t>All Welds</t>
  </si>
  <si>
    <t>Multiple</t>
  </si>
  <si>
    <t>Komatsu spec requires that all welds sizes on drwing are to be minimum size</t>
  </si>
  <si>
    <t>18-035</t>
  </si>
  <si>
    <t>All Cabs</t>
  </si>
  <si>
    <t>Excessive adhesive visible on windows</t>
  </si>
  <si>
    <t>18-036</t>
  </si>
  <si>
    <t>Rear cab corner covers will not line up with welds nuts in the deck</t>
  </si>
  <si>
    <t>18-037</t>
  </si>
  <si>
    <t>Weld / Assembly</t>
  </si>
  <si>
    <r>
      <rPr>
        <sz val="11"/>
        <color theme="1"/>
        <rFont val="Calibri"/>
        <family val="2"/>
        <scheme val="minor"/>
      </rPr>
      <t xml:space="preserve">Caulking around the corners of doors is insufficient and messy.
Welds with uneven leg lengths in certain areas of the locking bars. </t>
    </r>
  </si>
  <si>
    <t>18-038</t>
  </si>
  <si>
    <t>Crank &amp; Pipes Assemblies</t>
  </si>
  <si>
    <t>Weld spatter  &amp; excessive grinding on Crank &amp; Pipe Assemblies.  Safety concern</t>
  </si>
  <si>
    <t>18-039</t>
  </si>
  <si>
    <t>18-270</t>
  </si>
  <si>
    <r>
      <t>Angle of Q2017254 Plate not within tolerance.  Interference between Axe and Fuel Heater Box.  Angle reported to be 11</t>
    </r>
    <r>
      <rPr>
        <sz val="11"/>
        <color theme="1"/>
        <rFont val="Calibri"/>
        <family val="2"/>
        <scheme val="minor"/>
      </rPr>
      <t>° in some cases; print specifies 5° ± 0.5</t>
    </r>
  </si>
  <si>
    <t>18-040</t>
  </si>
  <si>
    <t>18-271</t>
  </si>
  <si>
    <t>Weld nut position not centered/hole too small causing diffuculty with screw engagement.</t>
  </si>
  <si>
    <t>18-041</t>
  </si>
  <si>
    <t>18-272</t>
  </si>
  <si>
    <t>Front Tool Kit Bracket Lid not closing properly.</t>
  </si>
  <si>
    <t>18-042</t>
  </si>
  <si>
    <t>Long Bars</t>
  </si>
  <si>
    <t>E-mail</t>
  </si>
  <si>
    <t>Clevis casting not sliding past over sized welds</t>
  </si>
  <si>
    <t>18-043</t>
  </si>
  <si>
    <t>Large decks</t>
  </si>
  <si>
    <t>Excessive grinding on the skin causing thn material</t>
  </si>
  <si>
    <t>18-044</t>
  </si>
  <si>
    <t>Ladders</t>
  </si>
  <si>
    <t>Bracket #Q2017297 was installed backwards, cable connection on wrong side</t>
  </si>
  <si>
    <t>19-045</t>
  </si>
  <si>
    <t>IFI</t>
  </si>
  <si>
    <t>Fuel Tanks (IFI07384)</t>
  </si>
  <si>
    <t>Clean/Grind</t>
  </si>
  <si>
    <t xml:space="preserve">Dirt in the tanks and missing welds </t>
  </si>
  <si>
    <t>19-046</t>
  </si>
  <si>
    <t>Hydraulic Tanks (IFI07385)</t>
  </si>
  <si>
    <t>19-047</t>
  </si>
  <si>
    <t>001342(CD-13796)</t>
  </si>
  <si>
    <t>Item # 4 (14369) missing from 25 assemblies</t>
  </si>
  <si>
    <t>19-048</t>
  </si>
  <si>
    <t xml:space="preserve"> E-mail</t>
  </si>
  <si>
    <t>Three footman loops on insid of unit not installed to print</t>
  </si>
  <si>
    <t>19-001</t>
  </si>
  <si>
    <t>Incorrect weldstuds installed</t>
  </si>
  <si>
    <t>19-002</t>
  </si>
  <si>
    <t>Bracket for the sheppard's hook not being welded squarely causing the sheppard's hook not o line up</t>
  </si>
  <si>
    <t>19-003</t>
  </si>
  <si>
    <t>CD-13645</t>
  </si>
  <si>
    <t>Several units are missing item#8 (washer)</t>
  </si>
  <si>
    <t>19-004</t>
  </si>
  <si>
    <t>Camo Net Carrier</t>
  </si>
  <si>
    <t>footman loops not welded securely, adding fillet weld to outside of loops</t>
  </si>
  <si>
    <t>19-005</t>
  </si>
  <si>
    <t>weld nut not welded securely</t>
  </si>
  <si>
    <t>19-006</t>
  </si>
  <si>
    <t>cutouts for door latch rod are inconsistent</t>
  </si>
  <si>
    <t>19-007</t>
  </si>
  <si>
    <t>Q2017320</t>
  </si>
  <si>
    <t>QMS20190201-001</t>
  </si>
  <si>
    <t>crooked handrail</t>
  </si>
  <si>
    <t>19-008</t>
  </si>
  <si>
    <t>weld</t>
  </si>
  <si>
    <t>email</t>
  </si>
  <si>
    <t>ongoing issues with door and lid not closing correctly</t>
  </si>
  <si>
    <t>19-009</t>
  </si>
  <si>
    <t>Rev. Military</t>
  </si>
  <si>
    <t>120-109525</t>
  </si>
  <si>
    <t>NCR</t>
  </si>
  <si>
    <t>Lid will not fit onto Enclosure, unable to install all 40 bolts.</t>
  </si>
  <si>
    <t>19-010</t>
  </si>
  <si>
    <t>Top lid frame is not flat</t>
  </si>
  <si>
    <t>19-011</t>
  </si>
  <si>
    <t>Top lid not latching repeatably, chamfer slots on bars</t>
  </si>
  <si>
    <t>19-012</t>
  </si>
  <si>
    <t>All Grilles</t>
  </si>
  <si>
    <t>Stamping</t>
  </si>
  <si>
    <t>All grilles are to stamped on the middle tube of assembly on the inside</t>
  </si>
  <si>
    <t>19-013</t>
  </si>
  <si>
    <t>T-4 Cabs</t>
  </si>
  <si>
    <t>504317/504318</t>
  </si>
  <si>
    <t>Bracket #58F5410682 are located off location by 27mm</t>
  </si>
  <si>
    <t>19-014</t>
  </si>
  <si>
    <t>Q2017316/Q2017318</t>
  </si>
  <si>
    <t xml:space="preserve">email </t>
  </si>
  <si>
    <t>Ladder and Platform to be stamped with unique number for paint traceability</t>
  </si>
  <si>
    <t>19-015</t>
  </si>
  <si>
    <t>ECN 19-0015</t>
  </si>
  <si>
    <t>correcting weld interference at Prevost, and improving function of top lid</t>
  </si>
  <si>
    <t>19-016</t>
  </si>
  <si>
    <t>Implementing Final Inspection Test Plan to capture quality issues</t>
  </si>
  <si>
    <t>19-017</t>
  </si>
  <si>
    <t>platform changes approved via email from Mark Manzi</t>
  </si>
  <si>
    <t>19-018</t>
  </si>
  <si>
    <t>4 nut welds are not welded on flat</t>
  </si>
  <si>
    <t>19-019</t>
  </si>
  <si>
    <t>missing circular component on foot</t>
  </si>
  <si>
    <t>19-020</t>
  </si>
  <si>
    <t>missing weld on tap pad for keeper (Unit # 364) (also 389 12MAR2019)</t>
  </si>
  <si>
    <t>19-021</t>
  </si>
  <si>
    <t>Q2017195</t>
  </si>
  <si>
    <t>cover on door is reversed</t>
  </si>
  <si>
    <t>19-022</t>
  </si>
  <si>
    <t>wrong stud inside camo net carrier</t>
  </si>
  <si>
    <t>19-023</t>
  </si>
  <si>
    <t>C19-010</t>
  </si>
  <si>
    <t>incorrect toe in angle</t>
  </si>
  <si>
    <t>19-024</t>
  </si>
  <si>
    <t>X8300036675</t>
  </si>
  <si>
    <t>58E5410494 plate firewall is missing a 58E5423730</t>
  </si>
  <si>
    <t>19-025</t>
  </si>
  <si>
    <t>Q2017285</t>
  </si>
  <si>
    <t>email from Militex</t>
  </si>
  <si>
    <t>missing item # 6 (Q2017273)</t>
  </si>
  <si>
    <t>19-026</t>
  </si>
  <si>
    <t>Fuel and Hydraulic Tanks</t>
  </si>
  <si>
    <t>NCR#945</t>
  </si>
  <si>
    <t>stamp parts to indicate passed leak test</t>
  </si>
  <si>
    <t>19-027</t>
  </si>
  <si>
    <t>tbd</t>
  </si>
  <si>
    <t>mounting plate is out of position by 7 mm, found at Prevost</t>
  </si>
  <si>
    <t>19-028</t>
  </si>
  <si>
    <t>X830006675</t>
  </si>
  <si>
    <t>58E5425141 brackets aree off location 20mm shold be 30mm are actually at 50mm</t>
  </si>
  <si>
    <t>19-029</t>
  </si>
  <si>
    <t>Q2017234</t>
  </si>
  <si>
    <t>supplier</t>
  </si>
  <si>
    <t>PN Q2017220 Guard Plate is formed backwards</t>
  </si>
  <si>
    <t>19-030</t>
  </si>
  <si>
    <t>internal</t>
  </si>
  <si>
    <t>stud off location several times</t>
  </si>
  <si>
    <t>19-031</t>
  </si>
  <si>
    <t>58E8100052</t>
  </si>
  <si>
    <t xml:space="preserve">ED6628 is off location 205mm </t>
  </si>
  <si>
    <t>19-033</t>
  </si>
  <si>
    <t>waiting for Tempilstiks</t>
  </si>
  <si>
    <t>cancelled</t>
  </si>
  <si>
    <t>Tempilstik to be used to prevent overheating of tubes</t>
  </si>
  <si>
    <t>19-034</t>
  </si>
  <si>
    <t>LH and RH Decks</t>
  </si>
  <si>
    <t xml:space="preserve">caulking to happen on decks before removed from final weld cell table  </t>
  </si>
  <si>
    <t>19-035</t>
  </si>
  <si>
    <t>limited to 3 programs for weld machines</t>
  </si>
  <si>
    <t>19-036</t>
  </si>
  <si>
    <t>Tractor Frames</t>
  </si>
  <si>
    <t>excessive weld, wrong location of bracket</t>
  </si>
  <si>
    <t>19-037</t>
  </si>
  <si>
    <t>lack of fusion on front door guard plate</t>
  </si>
  <si>
    <t>19-038</t>
  </si>
  <si>
    <t>Two 01571-01016 seats at RH rear rops beam are off location, 44mm dimension on print checks at 111mm</t>
  </si>
  <si>
    <t>19-039</t>
  </si>
  <si>
    <t>customer visit</t>
  </si>
  <si>
    <t>bracket front tool kit - lid not closing properly, inside hinge welds are too large, right side lid should be flush with bottom</t>
  </si>
  <si>
    <t>19-040</t>
  </si>
  <si>
    <t>58E2200233</t>
  </si>
  <si>
    <t>EM3492 and 93  fit out of position</t>
  </si>
  <si>
    <t>19-041</t>
  </si>
  <si>
    <t>excessive weld at tapped pad for door hinges causing interference with door closing</t>
  </si>
  <si>
    <t>19-042</t>
  </si>
  <si>
    <t>missing nut for door latch inside Camo Net</t>
  </si>
  <si>
    <t>19-043</t>
  </si>
  <si>
    <t>ladder assembly</t>
  </si>
  <si>
    <t>damage on ladder should be fixed before shipping</t>
  </si>
  <si>
    <t>19-044</t>
  </si>
  <si>
    <t>Platform A, LH</t>
  </si>
  <si>
    <t>EL2793 tapped pad off location by 5mm</t>
  </si>
  <si>
    <t>XB5353 x 2pcs. And EM3494 off location</t>
  </si>
  <si>
    <t>missing fulcrum cover, 3 5/8" dim U/S, loose hardware</t>
  </si>
  <si>
    <t>QCI Cambridge</t>
  </si>
  <si>
    <t>Red tags</t>
  </si>
  <si>
    <t>All</t>
  </si>
  <si>
    <t xml:space="preserve">Red tags are only to be removed by authorized people </t>
  </si>
  <si>
    <t>welds in the footwell area are interfering with a label that Mack installs, ensure no excessive welds - grind as needed</t>
  </si>
  <si>
    <t>19-049</t>
  </si>
  <si>
    <t>EH9967</t>
  </si>
  <si>
    <t>Mufflers are not being stuffed correctly</t>
  </si>
  <si>
    <t>19-050</t>
  </si>
  <si>
    <t>masking areas needs to be consistent</t>
  </si>
  <si>
    <t>19-051</t>
  </si>
  <si>
    <t>excessive grinding and door interference</t>
  </si>
  <si>
    <t>19-052</t>
  </si>
  <si>
    <t>3.75" dimension not held to tolerance of 1/19"</t>
  </si>
  <si>
    <t>19-053</t>
  </si>
  <si>
    <t>58E5409342</t>
  </si>
  <si>
    <t>Tha gap on the bracket should be 9.5mm the actual is 19mm bracket will not hold the strap properly</t>
  </si>
  <si>
    <t>19-054</t>
  </si>
  <si>
    <t>gaps were found in the muffler insulation, improve stuffing process to be uniform</t>
  </si>
  <si>
    <t>19-055</t>
  </si>
  <si>
    <t>weld burn and spatter on opposite side of hinge pads, operators to clean up by grinding</t>
  </si>
  <si>
    <t>19-056</t>
  </si>
  <si>
    <t>58B5401800</t>
  </si>
  <si>
    <t>Internal issue</t>
  </si>
  <si>
    <t>EK6307 tube needs to be straightened before installing EL3781</t>
  </si>
  <si>
    <t>19-057</t>
  </si>
  <si>
    <t>UC, LOF, missed weld</t>
  </si>
  <si>
    <t>19-058</t>
  </si>
  <si>
    <t>19-059</t>
  </si>
  <si>
    <t>LH Side Skin Sub Assembly</t>
  </si>
  <si>
    <t>box installed upside down causing next brackets to be off location as well</t>
  </si>
  <si>
    <t>19-060</t>
  </si>
  <si>
    <t>Cab X830003533</t>
  </si>
  <si>
    <t>No hole for heater drain tube</t>
  </si>
  <si>
    <t>19-061</t>
  </si>
  <si>
    <t>002200 Doors</t>
  </si>
  <si>
    <t>Paint/Shipping</t>
  </si>
  <si>
    <t>wooden blocks are restricting motion of side locking bars</t>
  </si>
  <si>
    <t>19-062</t>
  </si>
  <si>
    <t>58F0401200</t>
  </si>
  <si>
    <t>Baffles installed wrong not allowqing the quick fill fitting to be installed</t>
  </si>
  <si>
    <t>19-063</t>
  </si>
  <si>
    <t>58D5405000</t>
  </si>
  <si>
    <t>Receiving</t>
  </si>
  <si>
    <t>ECN 19-0040</t>
  </si>
  <si>
    <t>New components and changed components need to be set aside for QA approval before going to the warehouse</t>
  </si>
  <si>
    <t>19-064</t>
  </si>
  <si>
    <t>mixed parts, not identified correctly</t>
  </si>
  <si>
    <t>19-065</t>
  </si>
  <si>
    <t>NCR# C19-021</t>
  </si>
  <si>
    <t>13 1/16" dimension is at 12", parts were not identified correctly @ Steelcraft</t>
  </si>
  <si>
    <t>19-066</t>
  </si>
  <si>
    <t>missing Item #7 (Q2017274 formed plate) on 2 assemblies</t>
  </si>
  <si>
    <t>19-067</t>
  </si>
  <si>
    <t>10732317-001_B/10742384-011</t>
  </si>
  <si>
    <t>BEVEL</t>
  </si>
  <si>
    <t>EMAIL</t>
  </si>
  <si>
    <t>reduce amount of material for trimming to ensure theres material available for machining</t>
  </si>
  <si>
    <t>19-068</t>
  </si>
  <si>
    <t>58F5410185</t>
  </si>
  <si>
    <t>Missing welds @ J-7 and P-36</t>
  </si>
  <si>
    <t>19-069</t>
  </si>
  <si>
    <t>Rust bleeding through channels leaving stains inside cabinet</t>
  </si>
  <si>
    <t>19-070</t>
  </si>
  <si>
    <t>All Large Decks</t>
  </si>
  <si>
    <t>Internal request</t>
  </si>
  <si>
    <t>Sign off sheets not being completed between operations</t>
  </si>
  <si>
    <t>19-071</t>
  </si>
  <si>
    <t>Paint/Assembly</t>
  </si>
  <si>
    <t xml:space="preserve">Cab issue related to cab rust in the front enclosures because of presumed water ingress through the front cover/air filter plenum </t>
  </si>
  <si>
    <t>19-072</t>
  </si>
  <si>
    <t>Q2017135 is not being welded to print requirement</t>
  </si>
  <si>
    <t>19-073</t>
  </si>
  <si>
    <t>Shephards hook bracket not installed straight</t>
  </si>
  <si>
    <t>19-074</t>
  </si>
  <si>
    <t>58F0401200 / 58B0204000</t>
  </si>
  <si>
    <t>Tanks leaking and pinholes</t>
  </si>
  <si>
    <t>19-075</t>
  </si>
  <si>
    <t>Axle housings</t>
  </si>
  <si>
    <t>Machine shop</t>
  </si>
  <si>
    <t>Cross holes for shoulder bolts, out of alignment</t>
  </si>
  <si>
    <t>19-076</t>
  </si>
  <si>
    <t>Axe Brackets</t>
  </si>
  <si>
    <t>slag on weld studs interferes with assembly</t>
  </si>
  <si>
    <t>19-077</t>
  </si>
  <si>
    <t>58E5418150 Cover</t>
  </si>
  <si>
    <t>EL6426 ears welded on backwards, Bottom cover will not match</t>
  </si>
  <si>
    <t>19-078</t>
  </si>
  <si>
    <t>58E5416892 Deck</t>
  </si>
  <si>
    <t>Weld nuts not aligned for transformer installation</t>
  </si>
  <si>
    <t>19-079</t>
  </si>
  <si>
    <t>Cab Doors</t>
  </si>
  <si>
    <t>Poor Weld repair quality, and window opening undersized</t>
  </si>
  <si>
    <t>19-080</t>
  </si>
  <si>
    <t>Tapped pads off location, operators to use fixture for the tapped pads</t>
  </si>
  <si>
    <t>19-081</t>
  </si>
  <si>
    <t>All Parts</t>
  </si>
  <si>
    <t>Standard pallet size 48' x 42", no overhang allowed</t>
  </si>
  <si>
    <t>19-082</t>
  </si>
  <si>
    <t>Parts not stamped clearly</t>
  </si>
  <si>
    <t>19-083</t>
  </si>
  <si>
    <t>Missing Weld</t>
  </si>
  <si>
    <t>19-084</t>
  </si>
  <si>
    <t>Missing weld on door hinges Unit # 978</t>
  </si>
  <si>
    <t>19-085</t>
  </si>
  <si>
    <t>Axles</t>
  </si>
  <si>
    <t>Added weld checks at key stations and move indicatorsring weld, 160, 190 and 240</t>
  </si>
  <si>
    <t>19-086</t>
  </si>
  <si>
    <t>Cab</t>
  </si>
  <si>
    <t>one 58E5427080 front trim plate missing inside RH front of cab above dash</t>
  </si>
  <si>
    <t>19-087</t>
  </si>
  <si>
    <t>email 11JUL2019</t>
  </si>
  <si>
    <t>Temporary process to self-certify PPAP product before shipping</t>
  </si>
  <si>
    <t>19-088</t>
  </si>
  <si>
    <t>Weld/Clean/Paint</t>
  </si>
  <si>
    <t>Reminder of Sign off process - parts do not move to next operation if not signed off, PPAP and RMA red pages to visually identify</t>
  </si>
  <si>
    <t>19-089</t>
  </si>
  <si>
    <t>Q2017311</t>
  </si>
  <si>
    <t>bracket welded off location</t>
  </si>
  <si>
    <t>19-090</t>
  </si>
  <si>
    <t>Uprights</t>
  </si>
  <si>
    <t>CAR 19-573</t>
  </si>
  <si>
    <t>after fit up request QA to inspect with Faro for alignment of 4 blocks</t>
  </si>
  <si>
    <t>19-091</t>
  </si>
  <si>
    <t>Top Lid</t>
  </si>
  <si>
    <t>hinge pad welded on 180 degrees off location</t>
  </si>
  <si>
    <t>19-092</t>
  </si>
  <si>
    <t>shipping</t>
  </si>
  <si>
    <t>ECN 19-0045</t>
  </si>
  <si>
    <t>adding vinyl caps and desiccant bags to muffler packaging (waiting for rev 5 release)</t>
  </si>
  <si>
    <t>19-093</t>
  </si>
  <si>
    <t>Long Bars 002075 / 002076</t>
  </si>
  <si>
    <t>cut mark damage from rework</t>
  </si>
  <si>
    <t>19-094</t>
  </si>
  <si>
    <t>Cab shipped missing two 01571-01016 bosses at rear of cab</t>
  </si>
  <si>
    <t>19-095</t>
  </si>
  <si>
    <t>Rust bleeding through paint on doors</t>
  </si>
  <si>
    <t>19-096</t>
  </si>
  <si>
    <t>Parts (outside) manhole off location</t>
  </si>
  <si>
    <t>19-097</t>
  </si>
  <si>
    <t>top lid</t>
  </si>
  <si>
    <t>Handle off location at 60 mm, should be 30 mm</t>
  </si>
  <si>
    <t>19-098</t>
  </si>
  <si>
    <t>suspension weld</t>
  </si>
  <si>
    <t>initernal</t>
  </si>
  <si>
    <t>lack of fusion</t>
  </si>
  <si>
    <t>19-099</t>
  </si>
  <si>
    <t>email CRMA 108</t>
  </si>
  <si>
    <t>missing welds on the front door corners</t>
  </si>
  <si>
    <t>19-100</t>
  </si>
  <si>
    <t>Q2017095 Camo Net</t>
  </si>
  <si>
    <t>email CRMA 109</t>
  </si>
  <si>
    <t>hinge pads for top lid are too low</t>
  </si>
  <si>
    <t>19-101</t>
  </si>
  <si>
    <t>58D2200053 Axle housing</t>
  </si>
  <si>
    <t>machining</t>
  </si>
  <si>
    <t>DN 505882 CAR 19-631</t>
  </si>
  <si>
    <t>pin won't pass through both bores</t>
  </si>
  <si>
    <t>19-102</t>
  </si>
  <si>
    <t>Axle housing</t>
  </si>
  <si>
    <t>Items 119, 128 and 129 off location</t>
  </si>
  <si>
    <t>19-103</t>
  </si>
  <si>
    <t>ALL PRODUCTS</t>
  </si>
  <si>
    <t>all</t>
  </si>
  <si>
    <t>CAR 19-601</t>
  </si>
  <si>
    <t xml:space="preserve">Operators modified parts without proper investigation / verification with QA </t>
  </si>
  <si>
    <t>19-104</t>
  </si>
  <si>
    <t>Q2017100 Camo Net</t>
  </si>
  <si>
    <t>CAR 19-644
QMS20190923-001</t>
  </si>
  <si>
    <t>missing weld at ladder hinge</t>
  </si>
  <si>
    <t>19-105</t>
  </si>
  <si>
    <t>58D2280001 Axle housing</t>
  </si>
  <si>
    <t>EMAIL &amp; 506000</t>
  </si>
  <si>
    <t>XB5353 x 2pcs. Fit 30 mm out of tolerance.</t>
  </si>
  <si>
    <t>19-106</t>
  </si>
  <si>
    <t>58D2280001 fixture 192671-2</t>
  </si>
  <si>
    <t>Fitting fixture for manhole parts (outside)</t>
  </si>
  <si>
    <t>19-107</t>
  </si>
  <si>
    <t>58E2200234 fixture 192662-3</t>
  </si>
  <si>
    <t>19-108</t>
  </si>
  <si>
    <t>Robot Welding Process</t>
  </si>
  <si>
    <t>robot</t>
  </si>
  <si>
    <t>missing welds on a robot welded part made it to the customer</t>
  </si>
  <si>
    <t>19-109</t>
  </si>
  <si>
    <t>Q2017097 Camo Net</t>
  </si>
  <si>
    <t>bracket off location</t>
  </si>
  <si>
    <t>19-110</t>
  </si>
  <si>
    <t>Q2017320 Ladder Handrail</t>
  </si>
  <si>
    <t>missing weld</t>
  </si>
  <si>
    <t>19-111</t>
  </si>
  <si>
    <t>All Decks</t>
  </si>
  <si>
    <t>add clock number to checks on hardware ITP</t>
  </si>
  <si>
    <t>19-112</t>
  </si>
  <si>
    <t>All Parts - weldments</t>
  </si>
  <si>
    <t>CAR 19-650 and 19-667</t>
  </si>
  <si>
    <t>parts were stamped with incorrect numbers</t>
  </si>
  <si>
    <t>19-113</t>
  </si>
  <si>
    <t>CAR 19-653</t>
  </si>
  <si>
    <t>incorrect stud was used on cabinet EL1238</t>
  </si>
  <si>
    <t>19-114</t>
  </si>
  <si>
    <t>Grille</t>
  </si>
  <si>
    <t>CAR 19-19-661</t>
  </si>
  <si>
    <t>tapped pad for handrail was off location</t>
  </si>
  <si>
    <t>19-115</t>
  </si>
  <si>
    <t>Battery Box</t>
  </si>
  <si>
    <t>CAR 19-663</t>
  </si>
  <si>
    <t>plate was not welded square at bottom of box</t>
  </si>
  <si>
    <t>19-116</t>
  </si>
  <si>
    <t>CAR 19-664</t>
  </si>
  <si>
    <t>weld nuts were not centred on holes on EL5745</t>
  </si>
  <si>
    <t>19-117</t>
  </si>
  <si>
    <t>final assembly</t>
  </si>
  <si>
    <t>CAR 19-665</t>
  </si>
  <si>
    <t>insulation was coming loose inside cab around ROPS plate</t>
  </si>
  <si>
    <t>19-118</t>
  </si>
  <si>
    <t>58C5400080</t>
  </si>
  <si>
    <t>CAR 19-649</t>
  </si>
  <si>
    <t>EM9587 is off location, measured from wrong component</t>
  </si>
  <si>
    <t>19-119</t>
  </si>
  <si>
    <t>suspension pin check</t>
  </si>
  <si>
    <t>blast/paint</t>
  </si>
  <si>
    <t>Photograph record of pin checks</t>
  </si>
  <si>
    <t>19-120</t>
  </si>
  <si>
    <t>Camo Net</t>
  </si>
  <si>
    <t>tapped blocks on back of camo net need to be retapped at Prevost for spatter</t>
  </si>
  <si>
    <t>19-121</t>
  </si>
  <si>
    <t>Q2017318 platform</t>
  </si>
  <si>
    <t>holes in platform tubes showing</t>
  </si>
  <si>
    <t>19-122</t>
  </si>
  <si>
    <t>outside front of cab missing two 58E5423730 tie bars for securing harnesses</t>
  </si>
  <si>
    <t>19-123</t>
  </si>
  <si>
    <t>Q2017235 Top Lid</t>
  </si>
  <si>
    <t>stiffener is off location</t>
  </si>
  <si>
    <t>19-124</t>
  </si>
  <si>
    <t>EM0177 Speaker Harness</t>
  </si>
  <si>
    <t>CAR 19-674</t>
  </si>
  <si>
    <t>connector at end of harness is installed backwards (DN: 506279/506199)</t>
  </si>
  <si>
    <t>19-125</t>
  </si>
  <si>
    <t>All Parts - non weldment</t>
  </si>
  <si>
    <t>19-126</t>
  </si>
  <si>
    <t>58E4600711</t>
  </si>
  <si>
    <t>CAR 19-637</t>
  </si>
  <si>
    <t>weld was not cleaned up properly</t>
  </si>
  <si>
    <t>19-127</t>
  </si>
  <si>
    <t>58B8000780 Bracket</t>
  </si>
  <si>
    <t>19-660</t>
  </si>
  <si>
    <t>bracket was formed backwards</t>
  </si>
  <si>
    <t>19-128</t>
  </si>
  <si>
    <t>58B4600900 Upright</t>
  </si>
  <si>
    <t>19-692</t>
  </si>
  <si>
    <t>stitch pattern was incorrect (updated version: removed cancelled off location issue)</t>
  </si>
  <si>
    <t>19-129</t>
  </si>
  <si>
    <t>EK3384 Retainer</t>
  </si>
  <si>
    <t>paint</t>
  </si>
  <si>
    <t>19-698</t>
  </si>
  <si>
    <t>retainer was primer only, but should have been finish paint</t>
  </si>
  <si>
    <t>19-130</t>
  </si>
  <si>
    <t>58B46000970 Support</t>
  </si>
  <si>
    <t>19-700</t>
  </si>
  <si>
    <t>EJ4577 mount structures off location, should be 256 and 357.8 mm</t>
  </si>
  <si>
    <t>19-131</t>
  </si>
  <si>
    <t>XB6891 Pin Structure</t>
  </si>
  <si>
    <t>19-691</t>
  </si>
  <si>
    <t>off location, should be 150 mm, actual 163 mm</t>
  </si>
  <si>
    <t>19-132</t>
  </si>
  <si>
    <t>warped top lid found at Prevost</t>
  </si>
  <si>
    <t>19-133</t>
  </si>
  <si>
    <t>58E0618004</t>
  </si>
  <si>
    <t>CAR 19-717</t>
  </si>
  <si>
    <t>latches are pulling door up when engaged, tapped pads off location</t>
  </si>
  <si>
    <t>19-134</t>
  </si>
  <si>
    <t>CAR 19-693</t>
  </si>
  <si>
    <t>several weld issues, roll over, missing end of stitch weld, hardware off location</t>
  </si>
  <si>
    <t>19-135</t>
  </si>
  <si>
    <t>58E5413006</t>
  </si>
  <si>
    <t>CAR 19-683</t>
  </si>
  <si>
    <t>58E5411554 component off location, 70.6 dim measured at 40</t>
  </si>
  <si>
    <t>19-136</t>
  </si>
  <si>
    <t>All KMIS Items</t>
  </si>
  <si>
    <t>Internal Improvement</t>
  </si>
  <si>
    <t xml:space="preserve">All KMIS Work Orders (B &amp; C items) will be 100% verified by welder and audited by Zone Lead Hand.  Print will have each dimension, note and weld symbol marked with green highlighter when verified. </t>
  </si>
  <si>
    <t>19-137</t>
  </si>
  <si>
    <t>58F4600330</t>
  </si>
  <si>
    <t>CAR19-713</t>
  </si>
  <si>
    <t xml:space="preserve">poor forming caused gap when installed at Komatsu </t>
  </si>
  <si>
    <t>yes</t>
  </si>
  <si>
    <t>19-138</t>
  </si>
  <si>
    <t xml:space="preserve">CRMA126 /
QMS20191120-001 </t>
  </si>
  <si>
    <t>missing welds</t>
  </si>
  <si>
    <t>19-139</t>
  </si>
  <si>
    <t>inspection</t>
  </si>
  <si>
    <t>All KMIS orders will have 3 pieces measured and recorded for key features</t>
  </si>
  <si>
    <t>19-140</t>
  </si>
  <si>
    <t>58D22800001</t>
  </si>
  <si>
    <t>506533 &amp; 506480</t>
  </si>
  <si>
    <t>MM0079 off location WOs 128944 &amp; 127331</t>
  </si>
  <si>
    <t>19-141</t>
  </si>
  <si>
    <t>Q2017316 Ladder Weldment</t>
  </si>
  <si>
    <t>customer found spatter on handrail with concern of sharp material for operators</t>
  </si>
  <si>
    <t>19-142</t>
  </si>
  <si>
    <t>58D5402050 Cover Hyd. Cabinet</t>
  </si>
  <si>
    <t>forming</t>
  </si>
  <si>
    <t>506573/891401</t>
  </si>
  <si>
    <t>customer found slots off location, turned out to be formed backwards</t>
  </si>
  <si>
    <t>19-143</t>
  </si>
  <si>
    <t>58D4601010 Upright LH</t>
  </si>
  <si>
    <t>email (field failure)</t>
  </si>
  <si>
    <t>4 holes were missing M12 tapped feature</t>
  </si>
  <si>
    <t>19-144</t>
  </si>
  <si>
    <t>EM5646 Console Structure</t>
  </si>
  <si>
    <t>220mm dimension on print checks 180mm.this will affect hoist lever travel</t>
  </si>
  <si>
    <t>19-145</t>
  </si>
  <si>
    <t>EG1036 tapped pads (Axle housing)</t>
  </si>
  <si>
    <t xml:space="preserve">Fit and welded 7mm from nominal - 676mm, measured 683 </t>
  </si>
  <si>
    <t>19-146</t>
  </si>
  <si>
    <t>58E2200132 - 192680-1</t>
  </si>
  <si>
    <t>19-147</t>
  </si>
  <si>
    <t>Deviation Requirements</t>
  </si>
  <si>
    <t>ALL</t>
  </si>
  <si>
    <t>CAR 19-739</t>
  </si>
  <si>
    <t>Blue Placards will be attached to product that is waiting for deviation approval</t>
  </si>
  <si>
    <t>19-148</t>
  </si>
  <si>
    <t>CAR19-743/744</t>
  </si>
  <si>
    <t>Thin Paint and poor caulking workmanship found on sample tag product</t>
  </si>
  <si>
    <t>19-149</t>
  </si>
  <si>
    <t>Cabs (weld/paint/final assembly)</t>
  </si>
  <si>
    <t>weld/paint/ assembly</t>
  </si>
  <si>
    <t>CAR 19-751</t>
  </si>
  <si>
    <t>berries or contamination in paint, need to improve cleaning process</t>
  </si>
  <si>
    <t>19-150</t>
  </si>
  <si>
    <t>Saw Cut</t>
  </si>
  <si>
    <t>saw</t>
  </si>
  <si>
    <t>for traceability operators to record heat number in comments section of barcode scan</t>
  </si>
  <si>
    <t>19-151</t>
  </si>
  <si>
    <t>Decks (weld and paint)</t>
  </si>
  <si>
    <t>weld/paint</t>
  </si>
  <si>
    <t>CAR 19-757</t>
  </si>
  <si>
    <t>19-152</t>
  </si>
  <si>
    <t>Machining repairs</t>
  </si>
  <si>
    <t>Weld repairs need to be inspected before come off boring mills</t>
  </si>
  <si>
    <t>20-001</t>
  </si>
  <si>
    <t>58F5402105 Centre Deck Platform</t>
  </si>
  <si>
    <t>CAR 19-758</t>
  </si>
  <si>
    <t>Incomplete bevel fill-8mm fillet (Item 70 to Item 63) @ C-53 (Section B-B)</t>
  </si>
  <si>
    <t>20-002</t>
  </si>
  <si>
    <t>X830006676 Cab</t>
  </si>
  <si>
    <t>CAR 20-001</t>
  </si>
  <si>
    <t>107mm dimensionon print checks 120mm for passenger side 58E5451080 diagnostic bracket mtg brkt</t>
  </si>
  <si>
    <t>20-003</t>
  </si>
  <si>
    <t>58B5460200 RH Deck</t>
  </si>
  <si>
    <t>CAR 20-002</t>
  </si>
  <si>
    <t>missing components - Leftover kit components?  review to determine why, and correct</t>
  </si>
  <si>
    <t>20-004</t>
  </si>
  <si>
    <t>58B0301800 and
58F0350000 Grilles</t>
  </si>
  <si>
    <t>CAR 20-004</t>
  </si>
  <si>
    <t xml:space="preserve">Incorrect brackets installed. Grille inserts will not mount correctly at Komatsu.  Measure all bracket hole centres on all grilles until new fixtures are in place </t>
  </si>
  <si>
    <t>20-005</t>
  </si>
  <si>
    <t>58B5405043 RH Deck</t>
  </si>
  <si>
    <t>CAR 20-003</t>
  </si>
  <si>
    <t>standing water in  light box was painted over - ensure all areas are dry before painting</t>
  </si>
  <si>
    <t>20-006</t>
  </si>
  <si>
    <t>58B5421001 LH Deck</t>
  </si>
  <si>
    <t>CAR 20-009</t>
  </si>
  <si>
    <t>orange peel - possible adhesion issues - review with supervisor if seeing these issues</t>
  </si>
  <si>
    <t>20-007</t>
  </si>
  <si>
    <t>58E5404764 RH Deck</t>
  </si>
  <si>
    <t>CAR 20-015</t>
  </si>
  <si>
    <t>incomplete welds - ensure all welds are completed</t>
  </si>
  <si>
    <t>20-008</t>
  </si>
  <si>
    <t>CAR 20-008</t>
  </si>
  <si>
    <t>tapped pads off location, verify with tape until improved fixtures are released</t>
  </si>
  <si>
    <t>20-009</t>
  </si>
  <si>
    <t>58D2280020 Axle housing</t>
  </si>
  <si>
    <t xml:space="preserve">XB5353 (tapped pads) not centered in rear hatch opening </t>
  </si>
  <si>
    <t>20-010</t>
  </si>
  <si>
    <t>58B5460000 Deck</t>
  </si>
  <si>
    <t>CAR 20-010</t>
  </si>
  <si>
    <t>weld in no weld zone</t>
  </si>
  <si>
    <t>20-011</t>
  </si>
  <si>
    <t>58B5421001 Deck</t>
  </si>
  <si>
    <t>CAR 20-019</t>
  </si>
  <si>
    <t>missing bracket component</t>
  </si>
  <si>
    <t>20-012</t>
  </si>
  <si>
    <t>58F0401200 Tank</t>
  </si>
  <si>
    <t>CAR 20-024</t>
  </si>
  <si>
    <t>oversized weld interferes with mating part</t>
  </si>
  <si>
    <t>20-013</t>
  </si>
  <si>
    <t>Cabinet</t>
  </si>
  <si>
    <t>112456/112457</t>
  </si>
  <si>
    <t>Doors installed backwards</t>
  </si>
  <si>
    <t>20-014</t>
  </si>
  <si>
    <t>2020-02-31</t>
  </si>
  <si>
    <t>Cabs/Uprights</t>
  </si>
  <si>
    <t>Verify heat number is "Approved" on reference list, or else do not install components</t>
  </si>
  <si>
    <t>20-015</t>
  </si>
  <si>
    <t>Internal</t>
  </si>
  <si>
    <t>heat tubes in a "V" pattern when working to improve flatness</t>
  </si>
  <si>
    <t>20-016</t>
  </si>
  <si>
    <t>main and aux doors</t>
  </si>
  <si>
    <t>email/CAR 20-073</t>
  </si>
  <si>
    <t>paint texture - rough surface finish - dry overspray</t>
  </si>
  <si>
    <t>20-017</t>
  </si>
  <si>
    <t>place holder - 20-017 Alert # not used yet</t>
  </si>
  <si>
    <t>20-018</t>
  </si>
  <si>
    <t>Poor workmanship when applying the caulking to the deck</t>
  </si>
  <si>
    <t>20-019</t>
  </si>
  <si>
    <t>13376 Main Doors</t>
  </si>
  <si>
    <t>CAR 20-020</t>
  </si>
  <si>
    <t>foam inserts in gaskets came from supplier installed in wrong corners</t>
  </si>
  <si>
    <t>20-020</t>
  </si>
  <si>
    <t>Grille (58D5410640)</t>
  </si>
  <si>
    <t>CAR 20-028</t>
  </si>
  <si>
    <t>missing drilled and tapped features in corner plate EF8186</t>
  </si>
  <si>
    <t>20-021</t>
  </si>
  <si>
    <t>X830003874  CAB G</t>
  </si>
  <si>
    <t>CAR 20-031</t>
  </si>
  <si>
    <t>SEE Quality Alert 19-117 to re-issue - insulation coming loose</t>
  </si>
  <si>
    <t>20-022</t>
  </si>
  <si>
    <t>58D5400140 Ladder</t>
  </si>
  <si>
    <t>CAR 20-032</t>
  </si>
  <si>
    <t>58D5410180 is off location (wrong side)</t>
  </si>
  <si>
    <t>20-023</t>
  </si>
  <si>
    <t>KMIS Internal</t>
  </si>
  <si>
    <t>FPI with Green Highlight at start of shift or new operator</t>
  </si>
  <si>
    <t>20-024</t>
  </si>
  <si>
    <t>001616 Clevis Connector Rod</t>
  </si>
  <si>
    <t>CAR20-029</t>
  </si>
  <si>
    <t>tight ends and not adjusted to correct position</t>
  </si>
  <si>
    <t>20-025</t>
  </si>
  <si>
    <t>Cab Glass</t>
  </si>
  <si>
    <t>glass marking issue for rear cab window</t>
  </si>
  <si>
    <t>20-026</t>
  </si>
  <si>
    <t>Tube/Uprights</t>
  </si>
  <si>
    <t>CAR 20-042</t>
  </si>
  <si>
    <t>void in end ring of tube found after machining exposed the area, need to back gouge rings properly at tube welding process</t>
  </si>
  <si>
    <t>20-027</t>
  </si>
  <si>
    <t>001342 long bars</t>
  </si>
  <si>
    <t>CAR 20-043</t>
  </si>
  <si>
    <t>missing weld and poor quality welds (cold weld/ lack of fusion?)</t>
  </si>
  <si>
    <t>20-028</t>
  </si>
  <si>
    <t>58D0202001 Def Tank</t>
  </si>
  <si>
    <t>CAR 20-046</t>
  </si>
  <si>
    <t>incorrect hinge used</t>
  </si>
  <si>
    <t>20-029</t>
  </si>
  <si>
    <t>Feb-10-20</t>
  </si>
  <si>
    <t>Mar-10-20</t>
  </si>
  <si>
    <t xml:space="preserve">58E2200234 </t>
  </si>
  <si>
    <t>Missing MM0056 stud</t>
  </si>
  <si>
    <t>20-030</t>
  </si>
  <si>
    <t>Feb-12-20</t>
  </si>
  <si>
    <t>Mar-12-20</t>
  </si>
  <si>
    <t>suspension and panhard pin checks after sleeve installation</t>
  </si>
  <si>
    <t>sleeve obscuring hole</t>
  </si>
  <si>
    <t>20-031</t>
  </si>
  <si>
    <t>Feb-13-20</t>
  </si>
  <si>
    <t>Mar-13-20</t>
  </si>
  <si>
    <t>Missing welds XB6722</t>
  </si>
  <si>
    <t>3 pcs (Stratford) missing welds 12 total</t>
  </si>
  <si>
    <t>20-032</t>
  </si>
  <si>
    <t>58F5402105 Center Deck</t>
  </si>
  <si>
    <t>20-049</t>
  </si>
  <si>
    <t>20-033</t>
  </si>
  <si>
    <t>Axle housings (paint)</t>
  </si>
  <si>
    <t>891748/749</t>
  </si>
  <si>
    <t>Rust issues</t>
  </si>
  <si>
    <t>20-034</t>
  </si>
  <si>
    <t>Cab 6676</t>
  </si>
  <si>
    <t>CAR20-053/056</t>
  </si>
  <si>
    <t>58E5424141 brackets off location - verify by Team Lead until fixtures are in place</t>
  </si>
  <si>
    <t>20-035</t>
  </si>
  <si>
    <t>CAR 20-055</t>
  </si>
  <si>
    <t>missing components - MM0574 and MM0575 hardware</t>
  </si>
  <si>
    <t>20-036</t>
  </si>
  <si>
    <t>place holder - 20-036 Alert # not used yet</t>
  </si>
  <si>
    <t>20-037</t>
  </si>
  <si>
    <t>58E0618004 Control Box</t>
  </si>
  <si>
    <t>CAR 20-060 email</t>
  </si>
  <si>
    <t>cutout in weldment has rough edges</t>
  </si>
  <si>
    <t>20-038</t>
  </si>
  <si>
    <t>58F8000590 Sheet</t>
  </si>
  <si>
    <t>CAR 20-059
DN 891868</t>
  </si>
  <si>
    <t>Plate are not bent to 34.5 degrees. Dimension of 543.4mm actually measures to 520mm</t>
  </si>
  <si>
    <t>20-039</t>
  </si>
  <si>
    <t>Fitting fixtures inside manhole blocks</t>
  </si>
  <si>
    <t>20-040</t>
  </si>
  <si>
    <t>long bars</t>
  </si>
  <si>
    <t>CAR 20-069 and  20-071</t>
  </si>
  <si>
    <t>missing components - new process to have leads mark the components</t>
  </si>
  <si>
    <t>20-041</t>
  </si>
  <si>
    <t>CD-13057 Clevis Connector Rod</t>
  </si>
  <si>
    <t>CAR 20-075</t>
  </si>
  <si>
    <t>wrong components installed</t>
  </si>
  <si>
    <t>20-042</t>
  </si>
  <si>
    <t>58E5451830, 58E5451840, 58E5451880, 58E5451900</t>
  </si>
  <si>
    <t>no twisting or bowed edges accepted, hold 8.8 dimension at 9.0 minimum to allow for proper window installation</t>
  </si>
  <si>
    <t>20-043</t>
  </si>
  <si>
    <t>Almost all items on item #15 channel are off location. See sub drawing 58E5415502-SAC2-M</t>
  </si>
  <si>
    <t>20-044</t>
  </si>
  <si>
    <t>58B5410640 Cover</t>
  </si>
  <si>
    <t>CAR 20-077</t>
  </si>
  <si>
    <t>Part found on receiving dock with runs in paint and paint peeling form edges. Marks in paint due to paint not fully dry</t>
  </si>
  <si>
    <t>20-045</t>
  </si>
  <si>
    <t>ALL PARTS</t>
  </si>
  <si>
    <t>Weld/Grind</t>
  </si>
  <si>
    <t>CAR 20-080</t>
  </si>
  <si>
    <t>Customer notified us of excess material removal, do not over grind</t>
  </si>
  <si>
    <t>20-046</t>
  </si>
  <si>
    <t>58B5405044 RH Deck</t>
  </si>
  <si>
    <t>CAR 20-081</t>
  </si>
  <si>
    <t>Wrong size stud used at 58B5430010 RH support plate, should be MM0611 at 60mm, actual measurement is 80mm.</t>
  </si>
  <si>
    <t>20-047</t>
  </si>
  <si>
    <t>58D5400083  LH Deck</t>
  </si>
  <si>
    <t>Paint/Final</t>
  </si>
  <si>
    <t>CAR 20-083</t>
  </si>
  <si>
    <t>Uneven paint appearance on center front area of deck, Approximatly 150mm square area.</t>
  </si>
  <si>
    <t>20-048</t>
  </si>
  <si>
    <t>58C3200451 Tank</t>
  </si>
  <si>
    <t>CAR 20-088</t>
  </si>
  <si>
    <t>The inside white primer-sealer ran out of the 22.10mm hole all over the back of the part. The white primer-sealer also is on the back of the side that mounts on the finished spindle and hub. Tha part also has paint damage on both mounting flanges.</t>
  </si>
  <si>
    <t xml:space="preserve">58F8000884 GRILLE, STR </t>
  </si>
  <si>
    <t>CAR 20-094</t>
  </si>
  <si>
    <t xml:space="preserve">       At the top left headlight there is a stud off location
       should be bewteen the headights. it is in the middle of one
       of the headlights.</t>
  </si>
  <si>
    <t>20-050</t>
  </si>
  <si>
    <t>58F2240030</t>
  </si>
  <si>
    <t>CAR-20-095</t>
  </si>
  <si>
    <t>EL5856 clocking out of alignment</t>
  </si>
  <si>
    <t>20-051</t>
  </si>
  <si>
    <t>930E</t>
  </si>
  <si>
    <t>Suspension maount opening undersized</t>
  </si>
  <si>
    <t>20-052</t>
  </si>
  <si>
    <t xml:space="preserve">Internal </t>
  </si>
  <si>
    <t>Item #31 (58E5415980) wrong orientation.</t>
  </si>
  <si>
    <t>20-053</t>
  </si>
  <si>
    <t>Item #67 (58E5431760) wrong orientation</t>
  </si>
  <si>
    <t>20-054</t>
  </si>
  <si>
    <t>58E5404775  Deck</t>
  </si>
  <si>
    <t>CAR 20-096</t>
  </si>
  <si>
    <t>2pcs of MM0648 stud and 1pc of 58B8010250 bulkhead found damaged from sitting on transport stand.</t>
  </si>
  <si>
    <t>20-055</t>
  </si>
  <si>
    <t>58F5400144 LH Platform</t>
  </si>
  <si>
    <t>CAR 20-104</t>
  </si>
  <si>
    <t>MM0648 stud missing from deck for harness routing</t>
  </si>
  <si>
    <t>20-056</t>
  </si>
  <si>
    <t>CAR 20-106</t>
  </si>
  <si>
    <t>Left hand lower headlight bracket EF3077 is welded on backwards the cut outs should be towards the outside of the grille</t>
  </si>
  <si>
    <t>20-057</t>
  </si>
  <si>
    <t>EH9967 or 58F0250570 Mufflers</t>
  </si>
  <si>
    <t xml:space="preserve">Ensure crown end is not out of tolerance for 256.0 mm MIN diameter.  
Ensure only the correct PN stamping is showing on the mufflers. EH9967 or 58F0250570 but not both. </t>
  </si>
  <si>
    <t>20-058</t>
  </si>
  <si>
    <t>Apr-8-20</t>
  </si>
  <si>
    <t>May-8-20</t>
  </si>
  <si>
    <t>Suspension pin</t>
  </si>
  <si>
    <t>pre-blast</t>
  </si>
  <si>
    <t>EJ2846 pin will not pass through suspensio mount bores.</t>
  </si>
  <si>
    <t>20-059</t>
  </si>
  <si>
    <t>58E0601028 Control Box</t>
  </si>
  <si>
    <t>CAR 20-113</t>
  </si>
  <si>
    <t>525mm dimension on print for EM8489 tapped pads at right rear of AHT cabinet checks 505mm.small battery box will not mount to pads</t>
  </si>
  <si>
    <t>20-060</t>
  </si>
  <si>
    <t>EL0388 Housing Indicator Light</t>
  </si>
  <si>
    <t>CAR20-109</t>
  </si>
  <si>
    <t>Clip installed off location, caused fit issue at Komatsu</t>
  </si>
  <si>
    <t>20-061</t>
  </si>
  <si>
    <t>58E6000111 Mount Hyd Pump</t>
  </si>
  <si>
    <t>CAR 20-114</t>
  </si>
  <si>
    <t>WA3559 special channel off location.  Measurement per print should be 333.7mm, actual measurement is 303mm.</t>
  </si>
  <si>
    <t>20-062</t>
  </si>
  <si>
    <t>58E5404775 LH Deck</t>
  </si>
  <si>
    <t>CAR 20-115</t>
  </si>
  <si>
    <t>THE holes in the sheet metal for mounting the 58E6000690 Accumulator A Cabinet do not line up with the nuts in XB0934 angle bracket assemblies</t>
  </si>
  <si>
    <t>20-063</t>
  </si>
  <si>
    <t>X830003064 CAB G</t>
  </si>
  <si>
    <t>CAR 20-116</t>
  </si>
  <si>
    <t>200mm dimension on print for TM6610 tapped pads inside RH of dash checks 170mm.terminal strip will not mount to pads</t>
  </si>
  <si>
    <t>20-064</t>
  </si>
  <si>
    <t>OPEN</t>
  </si>
  <si>
    <t>ROLLFORM</t>
  </si>
  <si>
    <t>002325/002177</t>
  </si>
  <si>
    <t>PAINT</t>
  </si>
  <si>
    <t>ECN# 20-0023</t>
  </si>
  <si>
    <t>SENDING DOORS OUT TO GET PAINTED</t>
  </si>
  <si>
    <t>N/A 
(See meeting minutes)</t>
  </si>
  <si>
    <t>20-065</t>
  </si>
  <si>
    <t>CAR 20-117</t>
  </si>
  <si>
    <t>missing gasket on door</t>
  </si>
  <si>
    <t>20-066</t>
  </si>
  <si>
    <t>58F4600330 Bent Plate</t>
  </si>
  <si>
    <t>CAR 20-119</t>
  </si>
  <si>
    <t>missed operation for clean and grind</t>
  </si>
  <si>
    <t>20-067</t>
  </si>
  <si>
    <t xml:space="preserve">58F8049390 bracket </t>
  </si>
  <si>
    <t>CAR 20-121</t>
  </si>
  <si>
    <t>118 mm dimension not held</t>
  </si>
  <si>
    <t>20-068</t>
  </si>
  <si>
    <t xml:space="preserve">58D5400072 PLATFORM, LOWER </t>
  </si>
  <si>
    <t>CAR 20-099/123/124</t>
  </si>
  <si>
    <t>tapped pads located in wrong orientation</t>
  </si>
  <si>
    <t>20-069</t>
  </si>
  <si>
    <t>ALL TIER 2 PRODUCTION CABS</t>
  </si>
  <si>
    <t>ASSY/SHIP</t>
  </si>
  <si>
    <t>DEV-04593</t>
  </si>
  <si>
    <t>REAR WALL CAPS NOW MADE AS SUB STR DUE TO MATERIAL AVAILABILTY</t>
  </si>
  <si>
    <t>20-070</t>
  </si>
  <si>
    <t>58F5408420 / 58F5402580 Tubes</t>
  </si>
  <si>
    <t>ECN# 20-0025</t>
  </si>
  <si>
    <t>Remove coping and change length to account for machining change</t>
  </si>
  <si>
    <t>20-071</t>
  </si>
  <si>
    <t>58E2200234 Axle Housing</t>
  </si>
  <si>
    <t>CAR 20-126</t>
  </si>
  <si>
    <t>Stud fell off at assembly due to lack of fusion</t>
  </si>
  <si>
    <t>20-072</t>
  </si>
  <si>
    <t>X830006676 CAB G</t>
  </si>
  <si>
    <t>CAR 20-129</t>
  </si>
  <si>
    <t>Contamination - weld berries in mount pad holes</t>
  </si>
  <si>
    <t>20-073</t>
  </si>
  <si>
    <t>58F4640014 Support Str</t>
  </si>
  <si>
    <t>CAR 20-130</t>
  </si>
  <si>
    <t>EM2019 off location</t>
  </si>
  <si>
    <t>20-074</t>
  </si>
  <si>
    <t xml:space="preserve">58E5430636/58E5430626 Cab Doors </t>
  </si>
  <si>
    <t>Missing nut</t>
  </si>
  <si>
    <t>20-075</t>
  </si>
  <si>
    <t>58F5410830</t>
  </si>
  <si>
    <t>DEV-04717</t>
  </si>
  <si>
    <t>Move stamping to side of deck for ease of visibility</t>
  </si>
  <si>
    <t>20-076</t>
  </si>
  <si>
    <t>EM1349</t>
  </si>
  <si>
    <t>CAR 20-134</t>
  </si>
  <si>
    <t>58E5404764 PLATFORM, STRUCTURE RH rejected at cutomer because EM1349 plate mounting bent backwards, holes off location.</t>
  </si>
  <si>
    <t>20-077</t>
  </si>
  <si>
    <t>58C3200451 Catchment Tank</t>
  </si>
  <si>
    <t>watch for machining prints, ensure the correct print is being used</t>
  </si>
  <si>
    <t>20-078</t>
  </si>
  <si>
    <t>Caulking workmanship issues reported by customer</t>
  </si>
  <si>
    <t>20-079</t>
  </si>
  <si>
    <t>Grilles</t>
  </si>
  <si>
    <t>Grind/Wash</t>
  </si>
  <si>
    <t>temporary reinforcement for lifting Grille was not removed</t>
  </si>
  <si>
    <t>20-080</t>
  </si>
  <si>
    <t xml:space="preserve">Machining </t>
  </si>
  <si>
    <t>Accurately and properly documenting machining reports</t>
  </si>
  <si>
    <t>20-081</t>
  </si>
  <si>
    <t>WELD</t>
  </si>
  <si>
    <t>INTERNAL</t>
  </si>
  <si>
    <t>CHANGE EM TO WELD AND SEND OUT THEN A NEW WORK ORDER FOR CLEAN/PAINT -ISSUE WITH WELDING TO MACHINED DRAWING SEE QA 20-077</t>
  </si>
  <si>
    <t>20-082</t>
  </si>
  <si>
    <t>58F5409561 Centre Deck</t>
  </si>
  <si>
    <t>CAR 20-141</t>
  </si>
  <si>
    <t>missing paint in hard to reach area</t>
  </si>
  <si>
    <t>20-083</t>
  </si>
  <si>
    <t>All Products</t>
  </si>
  <si>
    <t>Zone Leads and QA need to check for and notify about missed ops</t>
  </si>
  <si>
    <t>20-084</t>
  </si>
  <si>
    <t>Flatness and bowing now part of Weld barcode</t>
  </si>
  <si>
    <t>20-085</t>
  </si>
  <si>
    <t>585410830 Centre Deck</t>
  </si>
  <si>
    <t>porosity in hinge welds</t>
  </si>
  <si>
    <t>20-086</t>
  </si>
  <si>
    <t>CAR20-150</t>
  </si>
  <si>
    <t>Item 17 was measured from the wrong side for the 248.9 mm dimension</t>
  </si>
  <si>
    <t>20-087</t>
  </si>
  <si>
    <t>58E5430662 Cab Door Handle</t>
  </si>
  <si>
    <t>CAR 20-153</t>
  </si>
  <si>
    <t xml:space="preserve">Door handle got stuck in unlocked position and door could not be closed.  </t>
  </si>
  <si>
    <t>20-088</t>
  </si>
  <si>
    <t xml:space="preserve">TZ8549 Tubes </t>
  </si>
  <si>
    <t xml:space="preserve">Thickness of the tubes is out of tolerance on some.  Ensure the thickness has been ok'd by QA before using the tube.  </t>
  </si>
  <si>
    <t>20-089</t>
  </si>
  <si>
    <t>customer has requested updated crate requirements</t>
  </si>
  <si>
    <t>20-090</t>
  </si>
  <si>
    <t>Axle Housing</t>
  </si>
  <si>
    <t>20-157</t>
  </si>
  <si>
    <t>contamination in casting</t>
  </si>
  <si>
    <t>20-091</t>
  </si>
  <si>
    <t>20-158</t>
  </si>
  <si>
    <t>20-092</t>
  </si>
  <si>
    <t>CAR 20-162</t>
  </si>
  <si>
    <t>T handled screws may have missing pins - watch at assembly and receiving inspection</t>
  </si>
  <si>
    <t>20-093</t>
  </si>
  <si>
    <t>CAR 20-160</t>
  </si>
  <si>
    <t>Studs off location</t>
  </si>
  <si>
    <t>20-094</t>
  </si>
  <si>
    <t>58D4601010 LH Upright</t>
  </si>
  <si>
    <t>CAR 20-159</t>
  </si>
  <si>
    <t>Tapped pad off location</t>
  </si>
  <si>
    <t>20-095</t>
  </si>
  <si>
    <t>STAMPING</t>
  </si>
  <si>
    <t>Change stamping from 58C3200451 dwg to 58C3200441</t>
  </si>
  <si>
    <t>20-096</t>
  </si>
  <si>
    <t>30-July-230</t>
  </si>
  <si>
    <t>58E2200234</t>
  </si>
  <si>
    <t>Weld/240</t>
  </si>
  <si>
    <t>Wrong cap bolts X 6 pcs</t>
  </si>
  <si>
    <t>20-097</t>
  </si>
  <si>
    <t>58E5430636/58E54030626</t>
  </si>
  <si>
    <t>Dimension 349.9mm not held 3-4mm small</t>
  </si>
  <si>
    <t>20-098</t>
  </si>
  <si>
    <t>X830006676</t>
  </si>
  <si>
    <t>Washers added to door striker causing a stress area that will bend/break the door striker</t>
  </si>
  <si>
    <t>20-099</t>
  </si>
  <si>
    <t>58B5421831/EM1495/EL1238/ 58E0601028/58E0618004/58E5426002 /58E5400301</t>
  </si>
  <si>
    <t>DEV-021</t>
  </si>
  <si>
    <t>Stmpaing has changed on all listed cabinets</t>
  </si>
  <si>
    <t>20-100</t>
  </si>
  <si>
    <t>Decks Assemblies</t>
  </si>
  <si>
    <t>Two holes on mud flap bracket made larger to accommodate lifting shackles/ no longer required due to shackle change</t>
  </si>
  <si>
    <t>20-101</t>
  </si>
  <si>
    <t>Platform Ext. RH</t>
  </si>
  <si>
    <t>Two tapped had to be moved ladder structures would not bolt on correctly.</t>
  </si>
  <si>
    <t>20-102</t>
  </si>
  <si>
    <t>58E4600711 Tube Structure</t>
  </si>
  <si>
    <t>Weld quality indercut/low profile/etc</t>
  </si>
  <si>
    <t>20-103</t>
  </si>
  <si>
    <t>58F2200053</t>
  </si>
  <si>
    <t>58F0900050 bracket fit and welded upside down</t>
  </si>
  <si>
    <t>20-104</t>
  </si>
  <si>
    <t>Excessive spatterleft on foot pads after cleaning</t>
  </si>
  <si>
    <t>20-105</t>
  </si>
  <si>
    <t>58E5404765</t>
  </si>
  <si>
    <t>Skin 58E5404851 installed 7mm off location</t>
  </si>
  <si>
    <t>20-106</t>
  </si>
  <si>
    <t>58D2280001</t>
  </si>
  <si>
    <t>Weld 190</t>
  </si>
  <si>
    <t>Light bar installed off location 8 mm</t>
  </si>
  <si>
    <t>20-107</t>
  </si>
  <si>
    <t>58E5410080/81/90/91</t>
  </si>
  <si>
    <t xml:space="preserve">Part #SM2241 sits high and needs to be ground down </t>
  </si>
  <si>
    <t>20-108</t>
  </si>
  <si>
    <t>Komatsu Cabinets</t>
  </si>
  <si>
    <t>All Komatsu cabinets now repuire stamping on the doors to avoid mix-up during the assembly process</t>
  </si>
  <si>
    <t>20-109</t>
  </si>
  <si>
    <t>Platform Center Decks</t>
  </si>
  <si>
    <t>20-197</t>
  </si>
  <si>
    <t>Bevel weld has lack of fusion, undercut, overlap, bevel underfill minimum 10 places. Flare bevel weld both sides 50-150 has porosity in welds.</t>
  </si>
  <si>
    <t>20-110</t>
  </si>
  <si>
    <t>Excessive grinding, parent material removed compromising material thickness</t>
  </si>
  <si>
    <t>20-111</t>
  </si>
  <si>
    <t>Tier 4 cab wiper motor bolts</t>
  </si>
  <si>
    <t>Wrong 6mm bolts have been used to install wiper motor to cab</t>
  </si>
  <si>
    <t>20-112</t>
  </si>
  <si>
    <t>Grille shipping stand change</t>
  </si>
  <si>
    <t>Only 2 stands can be used to ship grilles no matter the size. If green returnable stand is not available then a wooden skid is to be used.</t>
  </si>
  <si>
    <t>20-113</t>
  </si>
  <si>
    <t>58F2400900 fit and welded 20mm off location</t>
  </si>
  <si>
    <t>20-114</t>
  </si>
  <si>
    <t>SM0190</t>
  </si>
  <si>
    <t>Parts arrived at Komatsu rusted</t>
  </si>
  <si>
    <t>20-115</t>
  </si>
  <si>
    <t>Steering bracket assembly off location</t>
  </si>
  <si>
    <t>20-116</t>
  </si>
  <si>
    <t>58D4610630</t>
  </si>
  <si>
    <t>Weld failure deck support - lack of fusion</t>
  </si>
  <si>
    <t>20-117</t>
  </si>
  <si>
    <t>LS1080990</t>
  </si>
  <si>
    <t>SCR-00008851</t>
  </si>
  <si>
    <t>Updated Note 4, noted 4.1.4 and 4.1.5 to become indentured noted under 4.1.3</t>
  </si>
  <si>
    <t>20-118</t>
  </si>
  <si>
    <t>58E5451031</t>
  </si>
  <si>
    <t>Item #10 EK1737 is installed 180° off location, hole for hanger rod is on the wrong end.</t>
  </si>
  <si>
    <t>20-119</t>
  </si>
  <si>
    <t>Q2015045</t>
  </si>
  <si>
    <t>n/A</t>
  </si>
  <si>
    <t>Extra weld not called out on drawing. Top Of Latches.</t>
  </si>
  <si>
    <t>20-120</t>
  </si>
  <si>
    <t xml:space="preserve">Spatter being found during assembly process </t>
  </si>
  <si>
    <t>20-121</t>
  </si>
  <si>
    <t>Q2015064, Q2015045</t>
  </si>
  <si>
    <t>ECN 20-088</t>
  </si>
  <si>
    <t>Removed intermittent weld on Skid Bracket, changed weld symbols/sequence on Container Bottom Weldments</t>
  </si>
  <si>
    <t>20-122</t>
  </si>
  <si>
    <t>58B2200811</t>
  </si>
  <si>
    <t>Light bar welding change</t>
  </si>
  <si>
    <t>20-123</t>
  </si>
  <si>
    <t>Containers</t>
  </si>
  <si>
    <t>Cleaning product</t>
  </si>
  <si>
    <t>20-124</t>
  </si>
  <si>
    <t>Steering bracket assembly off location 100mm</t>
  </si>
  <si>
    <t>20-125</t>
  </si>
  <si>
    <t>Accelerator bracket missing form cab assembly (58E5424400)</t>
  </si>
  <si>
    <t>20-126</t>
  </si>
  <si>
    <t>508534/508540</t>
  </si>
  <si>
    <t>ITP change to reflect a dimensional record of the steering bracket locattion according to the print and a visual verification of the accelator bracket installation</t>
  </si>
  <si>
    <t>20-127</t>
  </si>
  <si>
    <t>Unit shipped missing 2pcs item 11 #Q2015044-019</t>
  </si>
  <si>
    <t>20-128</t>
  </si>
  <si>
    <t>Q2015046 Container Top</t>
  </si>
  <si>
    <t>Changed the stitch pattern in the area of the dessicant bracket area. No weld in area of spanner nut.</t>
  </si>
  <si>
    <t>20-129</t>
  </si>
  <si>
    <t>Def # 508562</t>
  </si>
  <si>
    <t>TK9111 (1pc), and TK9112 (3pcs) fit and welded @ 20mm. Should have been 9.5mm</t>
  </si>
  <si>
    <t>20-130</t>
  </si>
  <si>
    <t>58E2200053, 58F2240030</t>
  </si>
  <si>
    <t>Ceramic backer to be adhered back of EJ4379 LH side, and EJ4380 LH side against ED6692 ribs to prevent burn through</t>
  </si>
  <si>
    <t>20-131</t>
  </si>
  <si>
    <t xml:space="preserve">Q2015120 </t>
  </si>
  <si>
    <t>378.1mm dimension not held off by 2mm+</t>
  </si>
  <si>
    <t>20-132</t>
  </si>
  <si>
    <t>Galvion</t>
  </si>
  <si>
    <t>na</t>
  </si>
  <si>
    <t>Parts stacked in transport. Component Box crushed.</t>
  </si>
  <si>
    <t>20-133</t>
  </si>
  <si>
    <t>2 of 3 EG7814 blocks fit and welded off location</t>
  </si>
  <si>
    <t>20-134</t>
  </si>
  <si>
    <t>Multiple CMS-18 And 19 plates</t>
  </si>
  <si>
    <t>cutting /denest</t>
  </si>
  <si>
    <t>level up possible thickness issues from mill</t>
  </si>
  <si>
    <t>20-135</t>
  </si>
  <si>
    <t>Cabinet Weld Assembly</t>
  </si>
  <si>
    <t xml:space="preserve">Weld are not being completed </t>
  </si>
  <si>
    <t>20-136</t>
  </si>
  <si>
    <t>Weld Quality</t>
  </si>
  <si>
    <t>20-469</t>
  </si>
  <si>
    <t>Poor weld quality/lack of cleaning / lack of fusion</t>
  </si>
  <si>
    <t>20-137</t>
  </si>
  <si>
    <t>508534/508428</t>
  </si>
  <si>
    <t>New fixture in place to locate steering bracket assembly (58E5424252)</t>
  </si>
  <si>
    <t>20-138</t>
  </si>
  <si>
    <t>Weld/Shipping</t>
  </si>
  <si>
    <t>Add a bolt to the EC2024 tapped block to prevert contamination</t>
  </si>
  <si>
    <t>20-139</t>
  </si>
  <si>
    <t xml:space="preserve">Inspection criteria for container assemblies before moving to the next operation </t>
  </si>
  <si>
    <t>20-140</t>
  </si>
  <si>
    <t>Tube Str</t>
  </si>
  <si>
    <t>Tube structures are not identified per Komatsu requirement</t>
  </si>
  <si>
    <t>20-141</t>
  </si>
  <si>
    <t>T-4 cab windshield frames</t>
  </si>
  <si>
    <t>Added callouts to hold certain dimensions during the fit up process</t>
  </si>
  <si>
    <t>20-142</t>
  </si>
  <si>
    <t>Deck was not properly secured to the shipping stand resulting in the decl shifting during transport and damagie the deck</t>
  </si>
  <si>
    <t>20-143</t>
  </si>
  <si>
    <t>SCAR#1967336</t>
  </si>
  <si>
    <t>Door lock assembly not funtioning properly intruction requiment added to process</t>
  </si>
  <si>
    <t>21-144</t>
  </si>
  <si>
    <t>Container</t>
  </si>
  <si>
    <t xml:space="preserve">Over processing the grinding creating parent material removel </t>
  </si>
  <si>
    <t>21-145</t>
  </si>
  <si>
    <t xml:space="preserve">Cab frame </t>
  </si>
  <si>
    <t>Weld around the foot pad area to the ROPS over welded and excessive grinding on it and the end plates of the ROPS tube</t>
  </si>
  <si>
    <t>21-146</t>
  </si>
  <si>
    <t>EC2024 zinc coated tapped block</t>
  </si>
  <si>
    <t>Protect the top surface of the block as well as the threads from paint and contamination.</t>
  </si>
  <si>
    <t>21-147</t>
  </si>
  <si>
    <t>Tower Caps</t>
  </si>
  <si>
    <t>Part #'s Q2015120-005/006 Q2015127-003</t>
  </si>
  <si>
    <t>21-148</t>
  </si>
  <si>
    <t>Missing wire harness tie bars from under fron ROPS beam</t>
  </si>
  <si>
    <t>21-149</t>
  </si>
  <si>
    <t>Q2015137-Front frame U-joint mount sub-assembly</t>
  </si>
  <si>
    <t>Robot-weld</t>
  </si>
  <si>
    <t>Angle Q2015137-003 was installed with the bevel in the wrong location. Refer to print when loading these to the fixture</t>
  </si>
  <si>
    <t>21-150</t>
  </si>
  <si>
    <t>58E0610123 Battery Box</t>
  </si>
  <si>
    <t>893082/508793/508793/508791</t>
  </si>
  <si>
    <t>Studs have been in stalled in the wrong location M6x20mm is in location of M10x20mm stud harness cannot be installed</t>
  </si>
  <si>
    <t>21-151</t>
  </si>
  <si>
    <t>Tanks have excess oil from fogging process</t>
  </si>
  <si>
    <t>21-152</t>
  </si>
  <si>
    <t>X830006676/6677</t>
  </si>
  <si>
    <t>Throttle pedal bracket off location 30mm</t>
  </si>
  <si>
    <t>21-153</t>
  </si>
  <si>
    <t>X830006677</t>
  </si>
  <si>
    <t>Bevel fill weld @G-5 on print 58E5440602 needs to sit proud of item#9</t>
  </si>
  <si>
    <t>21-154</t>
  </si>
  <si>
    <t>X830003064/X830003874</t>
  </si>
  <si>
    <t>Clarification for weld requirement on foot pads of cab assembly</t>
  </si>
  <si>
    <t>21-155</t>
  </si>
  <si>
    <t>Container was missing the nameplate bracket (Q2015116)</t>
  </si>
  <si>
    <t>21-156</t>
  </si>
  <si>
    <t>Add to PDF drawing</t>
  </si>
  <si>
    <t>EL0156</t>
  </si>
  <si>
    <t>893245/508897/508898/ 508899</t>
  </si>
  <si>
    <t>Dimension 352.4mm not held in pin area of item #3</t>
  </si>
  <si>
    <t>21-157</t>
  </si>
  <si>
    <t>Robot daily check validation</t>
  </si>
  <si>
    <t>Robot</t>
  </si>
  <si>
    <t>Part validation for daily builds</t>
  </si>
  <si>
    <t>21-158</t>
  </si>
  <si>
    <t>Window bracket rubs on the power window tubing</t>
  </si>
  <si>
    <t>21-159</t>
  </si>
  <si>
    <t>X830003064</t>
  </si>
  <si>
    <r>
      <t>Throttle pedal bracket off location 180</t>
    </r>
    <r>
      <rPr>
        <sz val="11"/>
        <color theme="1"/>
        <rFont val="Calibri"/>
        <family val="2"/>
        <scheme val="minor"/>
      </rPr>
      <t>°</t>
    </r>
  </si>
  <si>
    <t>21-160</t>
  </si>
  <si>
    <t>58F0401201</t>
  </si>
  <si>
    <t>Testing</t>
  </si>
  <si>
    <t>Adding direction on where to start checking for leaks</t>
  </si>
  <si>
    <t>21-161</t>
  </si>
  <si>
    <t>58E5423903</t>
  </si>
  <si>
    <t>Forming</t>
  </si>
  <si>
    <t>509073/893310</t>
  </si>
  <si>
    <t>Parts must be checked 100% for flatness after forming</t>
  </si>
  <si>
    <t>21-162</t>
  </si>
  <si>
    <t>10713585-011 / 10713882-011</t>
  </si>
  <si>
    <t>cuting / forming</t>
  </si>
  <si>
    <t>lifting and forming damage. Min thickness check</t>
  </si>
  <si>
    <t>21-163</t>
  </si>
  <si>
    <t>58E5441732</t>
  </si>
  <si>
    <t xml:space="preserve">Handle broke off at Komatsu </t>
  </si>
  <si>
    <t>21-164</t>
  </si>
  <si>
    <t>120-109965</t>
  </si>
  <si>
    <t>Shot,paint/Debris in threads</t>
  </si>
  <si>
    <t>21-165</t>
  </si>
  <si>
    <t>120-109533</t>
  </si>
  <si>
    <t>Eng</t>
  </si>
  <si>
    <t>Lids identified incorrectly, identified at Rev A should be B</t>
  </si>
  <si>
    <t>21-166</t>
  </si>
  <si>
    <t>Various strut tubes assemblies</t>
  </si>
  <si>
    <t>Spatter on top cap affecting fit up of mating components</t>
  </si>
  <si>
    <t>21-167</t>
  </si>
  <si>
    <t>58E5410722,58E5420511,58E5420950</t>
  </si>
  <si>
    <t>Denest</t>
  </si>
  <si>
    <t>NCR21-540</t>
  </si>
  <si>
    <t xml:space="preserve">Slag on edges of parts, potential safety issue </t>
  </si>
  <si>
    <t>21-168</t>
  </si>
  <si>
    <t>Door frames bowed cannot fit door assembly correctly</t>
  </si>
  <si>
    <t>21-169</t>
  </si>
  <si>
    <t>Closure assembly 58E5403840 has two bosses off locarion</t>
  </si>
  <si>
    <t>21-170</t>
  </si>
  <si>
    <t>EK6333,EK6336</t>
  </si>
  <si>
    <t>21-551 and 21-552</t>
  </si>
  <si>
    <t>Forming damage, parts dented from 3 mm rad bend</t>
  </si>
  <si>
    <t>21-171</t>
  </si>
  <si>
    <t xml:space="preserve">X830006677 </t>
  </si>
  <si>
    <t>Cab foot pads</t>
  </si>
  <si>
    <t xml:space="preserve">Peening of the foot pads is not being completed by the welder </t>
  </si>
  <si>
    <t>21-172</t>
  </si>
  <si>
    <t>Cat</t>
  </si>
  <si>
    <t>169-2677G</t>
  </si>
  <si>
    <t>Item #5 170-7524 welded upside down Ø6.00 mm bore located incorrectly</t>
  </si>
  <si>
    <t>21-173</t>
  </si>
  <si>
    <t xml:space="preserve">EJ6554 </t>
  </si>
  <si>
    <t>Battery Bax Lid</t>
  </si>
  <si>
    <t>Parts not pacgaked correctly causing damage during shipping</t>
  </si>
  <si>
    <t>21-174</t>
  </si>
  <si>
    <t>10702287-011 and 10702289-011</t>
  </si>
  <si>
    <t>Excessive grinding of welds on "taco" major subweldment</t>
  </si>
  <si>
    <t>21-175</t>
  </si>
  <si>
    <t>EL0156 Hatch Cover</t>
  </si>
  <si>
    <t>509368/509369/509370/ 509371</t>
  </si>
  <si>
    <t>Hatch is warped and will not sit properly on the axle housing</t>
  </si>
  <si>
    <t>Added to drawing</t>
  </si>
  <si>
    <t>21-176</t>
  </si>
  <si>
    <t>All axle housings</t>
  </si>
  <si>
    <t>Uncured paint, and paint on machined surfaces</t>
  </si>
  <si>
    <t>21-177</t>
  </si>
  <si>
    <t>Burn through, nose cone to axle housing weld joints</t>
  </si>
  <si>
    <t>21-178</t>
  </si>
  <si>
    <t>Fuel Tank</t>
  </si>
  <si>
    <t>M20x2.5 threads on down component 10731982-001 damaged</t>
  </si>
  <si>
    <t>21-179</t>
  </si>
  <si>
    <t xml:space="preserve">Cabs </t>
  </si>
  <si>
    <t>Updated ITP to show a check of the windshield seal</t>
  </si>
  <si>
    <t>21-180</t>
  </si>
  <si>
    <t>58E4610402</t>
  </si>
  <si>
    <t xml:space="preserve">Customer had  issues with height when we ship them on a van trailer as it is over their height requirements
   </t>
  </si>
  <si>
    <t>21-181</t>
  </si>
  <si>
    <t xml:space="preserve">58E5423903 </t>
  </si>
  <si>
    <t xml:space="preserve">251mm dimension on print cheks 256mm.two 58E5426680 buzzer 
 Reason for Reject.   :   mount brkts will not line up with holes </t>
  </si>
  <si>
    <t>21-182</t>
  </si>
  <si>
    <t>LS1131717</t>
  </si>
  <si>
    <t>3 pieces of Find #26 missing. M8 tap pad 10627312</t>
  </si>
  <si>
    <t>21-183</t>
  </si>
  <si>
    <t>Customer concern about weld size and areas of porosity weld quality. Add copy of Alert to draeing PDF</t>
  </si>
  <si>
    <t>21-184</t>
  </si>
  <si>
    <t xml:space="preserve">covers at bottom of cab will not line up with mount studs,
   no dimension to hold for studs </t>
  </si>
  <si>
    <t>21-185</t>
  </si>
  <si>
    <t>21-186</t>
  </si>
  <si>
    <t>EK7876</t>
  </si>
  <si>
    <t>Hinge welded on the wrong side of the part</t>
  </si>
  <si>
    <t>21-187</t>
  </si>
  <si>
    <t>21-392</t>
  </si>
  <si>
    <t>WA3559 channel installed 125mm off location fixture not used as intended</t>
  </si>
  <si>
    <t>21-188</t>
  </si>
  <si>
    <t>58B8040310</t>
  </si>
  <si>
    <t>154mm dimension not held, middle of rack measures 142mm</t>
  </si>
  <si>
    <t>21-189</t>
  </si>
  <si>
    <t>Light bar welding</t>
  </si>
  <si>
    <t>Missing light bar welds. To be completed @ 3WC190.</t>
  </si>
  <si>
    <t>21-190</t>
  </si>
  <si>
    <t>Retainer Ring</t>
  </si>
  <si>
    <t>EK1029 found off location by 11mm</t>
  </si>
  <si>
    <t>21-191</t>
  </si>
  <si>
    <t>Weld, Paint, Shipping</t>
  </si>
  <si>
    <t>Process flow of commodity needs change as the current flow is not effective</t>
  </si>
  <si>
    <t>21-192</t>
  </si>
  <si>
    <t>First Article &amp; Revision Changes</t>
  </si>
  <si>
    <t>Refreshing everyone on the WO requirement versus print requirement</t>
  </si>
  <si>
    <t>21-193</t>
  </si>
  <si>
    <t>X830022111/X830022112</t>
  </si>
  <si>
    <t>Weather stripping around 3 sides of cover 58E5420808/58E5420807 must be 1/4" material LW37051</t>
  </si>
  <si>
    <t>21-194</t>
  </si>
  <si>
    <t>58D4601010</t>
  </si>
  <si>
    <t>Upright scrapped due to inexperience and lack of training</t>
  </si>
  <si>
    <t>21-195</t>
  </si>
  <si>
    <t>EL0059 Cab</t>
  </si>
  <si>
    <t xml:space="preserve">The last three cabs shipped missing part #SM2391 cover </t>
  </si>
  <si>
    <t>21-196</t>
  </si>
  <si>
    <t xml:space="preserve">MCQC welding audit, Australia. 110 welding defects found in 4 axle housings. UC, LOF, porosity, excess grinding. </t>
  </si>
  <si>
    <t>21-197</t>
  </si>
  <si>
    <t>Grille painting</t>
  </si>
  <si>
    <t xml:space="preserve"> All grilles can refer to DEV-06586 for new paint requirement</t>
  </si>
  <si>
    <t>21-198</t>
  </si>
  <si>
    <t>Welding outside acceptable parameters.</t>
  </si>
  <si>
    <t>21-199</t>
  </si>
  <si>
    <t xml:space="preserve">Weld notes on drawings </t>
  </si>
  <si>
    <t>21-200</t>
  </si>
  <si>
    <t>Quality and size of welds are consistent with QC4.5 requirement</t>
  </si>
  <si>
    <t>21-201</t>
  </si>
  <si>
    <t>Check fittings (threads) on all axle housings</t>
  </si>
  <si>
    <t>21-202</t>
  </si>
  <si>
    <t>Center Deck Platforms</t>
  </si>
  <si>
    <t>953080/953088</t>
  </si>
  <si>
    <t>Note on drawing stipulates "plates, tubes and channels must be flush within 1mm grind welds flush if required</t>
  </si>
  <si>
    <t>21-203</t>
  </si>
  <si>
    <t>Axle Housings</t>
  </si>
  <si>
    <t xml:space="preserve">New document to travel with Axle Housings to capture inspections at 7 different stations.  Appropriate sign off is required before moving product to next station.  </t>
  </si>
  <si>
    <t>21-204</t>
  </si>
  <si>
    <t>CAR 21-402 (8D)</t>
  </si>
  <si>
    <t xml:space="preserve">New process launched to conduct Layered Process Audits on the Weld Process. </t>
  </si>
  <si>
    <t>21-205</t>
  </si>
  <si>
    <t>Deck Supports/Uprights</t>
  </si>
  <si>
    <t>CAR 21-414</t>
  </si>
  <si>
    <t>New process to make indicator marks on the Deck Support to verify positions before drilling holes</t>
  </si>
  <si>
    <t>21-206</t>
  </si>
  <si>
    <t xml:space="preserve">Review of correct process to rework welds that failed UT. </t>
  </si>
  <si>
    <t>22-001</t>
  </si>
  <si>
    <t>113303/112599</t>
  </si>
  <si>
    <t>Grille missing weld boss at F-13 and 2 studs in view Z-Z</t>
  </si>
  <si>
    <t>22-002</t>
  </si>
  <si>
    <t>58E4600711 Tubes</t>
  </si>
  <si>
    <t>Quality of welds did not meet QC4.5 requirement</t>
  </si>
  <si>
    <t>22-003</t>
  </si>
  <si>
    <t>58F4601960 Bracket Str.</t>
  </si>
  <si>
    <t>Parts got wrong stamping (stamped as 58F4601301)</t>
  </si>
  <si>
    <t>22-004</t>
  </si>
  <si>
    <t>CAR 21-422</t>
  </si>
  <si>
    <t xml:space="preserve">Measure the diameter of each manhole ring in several places to ensure round before welding.  </t>
  </si>
  <si>
    <t>22-005</t>
  </si>
  <si>
    <t>New Fixtures issued to locate height of man hole ring</t>
  </si>
  <si>
    <t>22-006</t>
  </si>
  <si>
    <t>Man hole rings</t>
  </si>
  <si>
    <t>Parts need to be identified as going to Form to get re-rolled after welding</t>
  </si>
  <si>
    <t>22-007</t>
  </si>
  <si>
    <t>Completing Work Order Barcodes</t>
  </si>
  <si>
    <t>Work Order Barcodes need to be completed correctly before moving product to next operation</t>
  </si>
  <si>
    <t>22-008</t>
  </si>
  <si>
    <t xml:space="preserve">Cabinet welds </t>
  </si>
  <si>
    <t xml:space="preserve">Cabinet 58B5421831 has a material distortion issue on the inside panels. </t>
  </si>
  <si>
    <t>22-009</t>
  </si>
  <si>
    <t>10693835-011</t>
  </si>
  <si>
    <t>Forming/Bevel</t>
  </si>
  <si>
    <t>CAR 22-446</t>
  </si>
  <si>
    <t xml:space="preserve">Form on tunnel plate not maintained a T case end and will not allow fit up of mating part 10693867-001 </t>
  </si>
  <si>
    <t>22-010</t>
  </si>
  <si>
    <t>58D5402830,58D5402831,58D5402691,
58E5416892,58E5416893,58E5416894</t>
  </si>
  <si>
    <t>Customer reported off location, undersized weld, excessive grinding/gouging etc.</t>
  </si>
  <si>
    <t>22-011</t>
  </si>
  <si>
    <t>Shipping/Receiving</t>
  </si>
  <si>
    <t>Wiper motor inside front of cab is 12v should be 24v</t>
  </si>
  <si>
    <t>22-012</t>
  </si>
  <si>
    <t>Weld/QA</t>
  </si>
  <si>
    <t>22-441</t>
  </si>
  <si>
    <t>Improve tracking on ITP to ensure rework is all completed</t>
  </si>
  <si>
    <t>22-013</t>
  </si>
  <si>
    <t>Progress Rail</t>
  </si>
  <si>
    <t>All Progress Rail Shipments</t>
  </si>
  <si>
    <t>21-299</t>
  </si>
  <si>
    <t>Customer reported dirty, rusty parts in their warehouse.  Customers Shipping Manual was not being followed</t>
  </si>
  <si>
    <t>22-014</t>
  </si>
  <si>
    <t>22-455</t>
  </si>
  <si>
    <t>Excess weld in tapped hole of B5353</t>
  </si>
  <si>
    <t>22-015</t>
  </si>
  <si>
    <t>Cab X830022112</t>
  </si>
  <si>
    <t>22-465</t>
  </si>
  <si>
    <t>9 bolts missing from the bottom of the cab</t>
  </si>
  <si>
    <t>22-016</t>
  </si>
  <si>
    <t>22-466</t>
  </si>
  <si>
    <t xml:space="preserve">Holes in top of box not lined up with threaded blocks </t>
  </si>
  <si>
    <t>22-017</t>
  </si>
  <si>
    <t>2AR2022</t>
  </si>
  <si>
    <t>Weld/Paint</t>
  </si>
  <si>
    <t>22-464</t>
  </si>
  <si>
    <t xml:space="preserve">Customer Audit Highlighted Opportunities for Improvement. </t>
  </si>
  <si>
    <t>22-018</t>
  </si>
  <si>
    <t>Cutting Process</t>
  </si>
  <si>
    <t>22-448</t>
  </si>
  <si>
    <t xml:space="preserve">Parts reached Plant 3 made from wrong material thickness. 
Increased the required measurements at material handling, cutting and de-nest. </t>
  </si>
  <si>
    <t>22-019</t>
  </si>
  <si>
    <t xml:space="preserve">Uprights and Supports </t>
  </si>
  <si>
    <t>Weld/Blast</t>
  </si>
  <si>
    <t xml:space="preserve">Poor weld quality found at customer.  Add post blast inspection. </t>
  </si>
  <si>
    <t>22-020</t>
  </si>
  <si>
    <t>Stamping Requirements</t>
  </si>
  <si>
    <t>Komatsu stamping requirements Re-issued</t>
  </si>
  <si>
    <t>22-021</t>
  </si>
  <si>
    <t>10617492 Riser</t>
  </si>
  <si>
    <t>22-468</t>
  </si>
  <si>
    <t>missed operation to weld after rolling</t>
  </si>
  <si>
    <t>22-022</t>
  </si>
  <si>
    <t>58E2200132 Axle Housing</t>
  </si>
  <si>
    <t>22-479</t>
  </si>
  <si>
    <r>
      <t xml:space="preserve">missing XBB059 component
</t>
    </r>
    <r>
      <rPr>
        <sz val="11"/>
        <color rgb="FFFF0000"/>
        <rFont val="Calibri"/>
        <family val="2"/>
        <scheme val="minor"/>
      </rPr>
      <t>Cancelled:</t>
    </r>
    <r>
      <rPr>
        <sz val="11"/>
        <color theme="1"/>
        <rFont val="Calibri"/>
        <family val="2"/>
        <scheme val="minor"/>
      </rPr>
      <t xml:space="preserve"> Posting @ 175B with print section highlighted</t>
    </r>
  </si>
  <si>
    <t>22-023</t>
  </si>
  <si>
    <t>Axle Housing Kits</t>
  </si>
  <si>
    <t>Ship/Warehouse</t>
  </si>
  <si>
    <t>22-480</t>
  </si>
  <si>
    <r>
      <t xml:space="preserve">Missing components in Axle Housing Kits
</t>
    </r>
    <r>
      <rPr>
        <sz val="11"/>
        <color rgb="FFFF0000"/>
        <rFont val="Calibri"/>
        <family val="2"/>
        <scheme val="minor"/>
      </rPr>
      <t>Cancelled:</t>
    </r>
    <r>
      <rPr>
        <sz val="11"/>
        <color theme="1"/>
        <rFont val="Calibri"/>
        <family val="2"/>
        <scheme val="minor"/>
      </rPr>
      <t xml:space="preserve"> CI Project in Straford &amp; start using Shortage Tags in Woodstock</t>
    </r>
  </si>
  <si>
    <t>22-024</t>
  </si>
  <si>
    <t>X830006677/X830022112</t>
  </si>
  <si>
    <t>22-461/22-485</t>
  </si>
  <si>
    <t>Stud location on floor of cab not held to 24.9mnm +-1.5</t>
  </si>
  <si>
    <t>22-025</t>
  </si>
  <si>
    <t>22/470</t>
  </si>
  <si>
    <t>Door gap not held 6.1mm dimension measured over 8mm</t>
  </si>
  <si>
    <t>22-026</t>
  </si>
  <si>
    <t>58D5480361</t>
  </si>
  <si>
    <t>Missing item #1 boss on front face of grille at location F-13</t>
  </si>
  <si>
    <t>22-027</t>
  </si>
  <si>
    <t>10842699-011</t>
  </si>
  <si>
    <t>22-487</t>
  </si>
  <si>
    <t>8 pieces of 10705421-001 keeper, located upside down and incorrectly located dimension, 183.5 in "Y" from main frame  actually measures 305.</t>
  </si>
  <si>
    <t>22-028</t>
  </si>
  <si>
    <t>58F4600340</t>
  </si>
  <si>
    <t xml:space="preserve">Cutting  </t>
  </si>
  <si>
    <t>22-488</t>
  </si>
  <si>
    <r>
      <t xml:space="preserve">Customer found 20 pcs that did not meet the 22.0 slot dimension (posted at Cambridge and Stratford)
</t>
    </r>
    <r>
      <rPr>
        <sz val="11"/>
        <color rgb="FFFF0000"/>
        <rFont val="Calibri"/>
        <family val="2"/>
        <scheme val="minor"/>
      </rPr>
      <t xml:space="preserve">Cancelled: </t>
    </r>
    <r>
      <rPr>
        <sz val="11"/>
        <color theme="1"/>
        <rFont val="Calibri"/>
        <family val="2"/>
        <scheme val="minor"/>
      </rPr>
      <t>Process changed to prevent this issue</t>
    </r>
  </si>
  <si>
    <t>22-029</t>
  </si>
  <si>
    <t>Paint quality needs to meet specification.  Posting included with areas to be mindful of when painting the axle housings</t>
  </si>
  <si>
    <t>22-030</t>
  </si>
  <si>
    <t>10734396-001, 10734399-001,
 10734403-001</t>
  </si>
  <si>
    <t>Cutting</t>
  </si>
  <si>
    <t>ECN 22-029</t>
  </si>
  <si>
    <t>Saw cut length inconsistent. Update machine programs to machine overall length of Channel</t>
  </si>
  <si>
    <t>22-031</t>
  </si>
  <si>
    <t>Validate dimensions shown in example</t>
  </si>
  <si>
    <t>22-032</t>
  </si>
  <si>
    <t>58D5404470</t>
  </si>
  <si>
    <t>Beveled on 4 edges and should only be on 3</t>
  </si>
  <si>
    <t>22-033</t>
  </si>
  <si>
    <t>10710015-011-SUB5 
10710190-011-SUB5</t>
  </si>
  <si>
    <t>Weld,VI, NDT</t>
  </si>
  <si>
    <t>ECN 22-018</t>
  </si>
  <si>
    <t>Eng. Master updated to match current weld and inspection order of operations. Sub4 moved into Sub5, was in Top Level Eng. Master</t>
  </si>
  <si>
    <t>22-034</t>
  </si>
  <si>
    <t>22-493</t>
  </si>
  <si>
    <t>Rust bleeding through paint</t>
  </si>
  <si>
    <t>22-035</t>
  </si>
  <si>
    <t>D009106</t>
  </si>
  <si>
    <t>Laser/Blst</t>
  </si>
  <si>
    <t>22-267/22-268</t>
  </si>
  <si>
    <t>Deep pitting in various areas, potentially violating minimum material Thickness</t>
  </si>
  <si>
    <t>22-036</t>
  </si>
  <si>
    <t>58E5452601</t>
  </si>
  <si>
    <t>Part #0819331012 clip was used instead of part#0819321012</t>
  </si>
  <si>
    <t>22-037</t>
  </si>
  <si>
    <t>CAR 21-422A</t>
  </si>
  <si>
    <t>New Dwell Time Tag added to Move Tag process</t>
  </si>
  <si>
    <t>22-038</t>
  </si>
  <si>
    <t>CAR 22-517</t>
  </si>
  <si>
    <t>Part number was stamped incorrectly</t>
  </si>
  <si>
    <t>22-039</t>
  </si>
  <si>
    <t>Weld / Fit</t>
  </si>
  <si>
    <t>CAR 22-521</t>
  </si>
  <si>
    <t>Off location and wrong component defects have increased recently.  Retraining on Best Practices</t>
  </si>
  <si>
    <t>22-040</t>
  </si>
  <si>
    <t>Best Practise Alert re-issued</t>
  </si>
  <si>
    <t>Re-issue best practise 3MSM training notes</t>
  </si>
  <si>
    <t>22-041</t>
  </si>
  <si>
    <t>10694140-011</t>
  </si>
  <si>
    <t xml:space="preserve">Incorrect bracket used on frame, find #11 on 10694140-011 should be 10706117-001 and find #15 on 10842699-011 should be 10855564-001 </t>
  </si>
  <si>
    <t>22-042</t>
  </si>
  <si>
    <t>XB6732</t>
  </si>
  <si>
    <t>22-519</t>
  </si>
  <si>
    <t xml:space="preserve"> MM0648 weld stud located on wrong side of bracket.</t>
  </si>
  <si>
    <t>22-043</t>
  </si>
  <si>
    <t>GDLS/ Militex</t>
  </si>
  <si>
    <t>10755241-011 Fuel Tank</t>
  </si>
  <si>
    <t>22-526</t>
  </si>
  <si>
    <t>10731924-001 welded in upside down, countersink is in the direction of inside of tank should be to the outside.</t>
  </si>
  <si>
    <t>22-044</t>
  </si>
  <si>
    <t>22-521</t>
  </si>
  <si>
    <t xml:space="preserve">Kits are now to be used for hardware items.  The kits will be prepared and distributed to the applicable cells.  </t>
  </si>
  <si>
    <t>22-045</t>
  </si>
  <si>
    <t>22-528</t>
  </si>
  <si>
    <t>Part 58E4600711 was built wrong the center structure is 98mm off location, one side is 965mm and the other side is 1161mmm,</t>
  </si>
  <si>
    <t>22-046</t>
  </si>
  <si>
    <t>Change template 192603-3 use from 3WC185 to 3WC210 to prevent recent bent 58F0900050 brackets</t>
  </si>
  <si>
    <t>22-047</t>
  </si>
  <si>
    <t xml:space="preserve">58B8522835 </t>
  </si>
  <si>
    <t>Cabinet 58B5422835 arrived at the customer missing item #67 tie bar. Similar to defect #401576</t>
  </si>
  <si>
    <t>22-048</t>
  </si>
  <si>
    <t>Shipping Requirement</t>
  </si>
  <si>
    <t>Komatsu has issued a shipping spec for Peoria shipments to be inline with Ripley</t>
  </si>
  <si>
    <r>
      <t xml:space="preserve">22-049
</t>
    </r>
    <r>
      <rPr>
        <sz val="11"/>
        <rFont val="Calibri"/>
        <family val="2"/>
        <scheme val="minor"/>
      </rPr>
      <t>22-049A</t>
    </r>
  </si>
  <si>
    <t>10755241-011, 10755259-011, 10710015-011PEG, 10710190-011PEG Fuel Tanks</t>
  </si>
  <si>
    <t>Quality</t>
  </si>
  <si>
    <t>Rust contamination found inside fuel tanks
Updated to 22-049A to include Militex rejection for rust in tanks</t>
  </si>
  <si>
    <t>22-050</t>
  </si>
  <si>
    <t>Product Identification &amp; Traceability</t>
  </si>
  <si>
    <t xml:space="preserve">To communicate the use of Yellow Hold tags to Pause production for inspection or investigation. Discuss the use of Red Stop tags too.  </t>
  </si>
  <si>
    <t>22-051</t>
  </si>
  <si>
    <t>Machining Uprights and Supports</t>
  </si>
  <si>
    <t>CAR 22-539</t>
  </si>
  <si>
    <t xml:space="preserve">Communicate current clamping for machining uprights and supports. </t>
  </si>
  <si>
    <t>22-052</t>
  </si>
  <si>
    <t>ECN /  Change Alert process</t>
  </si>
  <si>
    <t>CAR 22-513</t>
  </si>
  <si>
    <t xml:space="preserve">Communicate use of ECNs and Change Alerts to notify employees of approved changes coming up.  </t>
  </si>
  <si>
    <t>22-053</t>
  </si>
  <si>
    <t>Rev-5 notes about skip welds needing to have sealer to conceal gaps not followed</t>
  </si>
  <si>
    <t>22-054</t>
  </si>
  <si>
    <t>58E5431760 Bottom Plate</t>
  </si>
  <si>
    <t>NCR 22-667</t>
  </si>
  <si>
    <t>Slotted holes are machined on the wrong length of the part</t>
  </si>
  <si>
    <t>22-055</t>
  </si>
  <si>
    <t>58E5416894</t>
  </si>
  <si>
    <t>Seat off location @O-4</t>
  </si>
  <si>
    <t>22-056</t>
  </si>
  <si>
    <t>58B5422835</t>
  </si>
  <si>
    <t>Item 64 installed backwards on two cabinets</t>
  </si>
  <si>
    <t>22-057</t>
  </si>
  <si>
    <t>Kit Packing</t>
  </si>
  <si>
    <t>Material Handling</t>
  </si>
  <si>
    <t>Incorrect part was shipped in Midland Kit</t>
  </si>
  <si>
    <t>22-058</t>
  </si>
  <si>
    <t>Cab Door Assemblies</t>
  </si>
  <si>
    <t>Doors have bow in them on the hinge side of 3mm+</t>
  </si>
  <si>
    <t>22-059</t>
  </si>
  <si>
    <t>Insulated Cabinets</t>
  </si>
  <si>
    <t>Prep</t>
  </si>
  <si>
    <t>Alert to track the time spent in the oven due to Cutomer conerns with water damage. Cabinets must be left in the oven for 24 hrs to dry</t>
  </si>
  <si>
    <t>22-060</t>
  </si>
  <si>
    <t>58F Fabricated Axle Housings</t>
  </si>
  <si>
    <t>Identify best practice for a difficult weld area (Racetrack)</t>
  </si>
  <si>
    <t>22-061</t>
  </si>
  <si>
    <t>Part #58E5425551 was installed were part#58E5410931 should be</t>
  </si>
  <si>
    <t>22-062</t>
  </si>
  <si>
    <t xml:space="preserve">GDLS </t>
  </si>
  <si>
    <t>10650201-001 RH Tube</t>
  </si>
  <si>
    <t>Hold Tag 22-407</t>
  </si>
  <si>
    <t>Holes were machined on the wrong side</t>
  </si>
  <si>
    <t>22-063</t>
  </si>
  <si>
    <t xml:space="preserve">All </t>
  </si>
  <si>
    <t>Graffiti was found on product</t>
  </si>
  <si>
    <t>22-064</t>
  </si>
  <si>
    <t>Weld / NDT</t>
  </si>
  <si>
    <t>CAR 22-547</t>
  </si>
  <si>
    <t xml:space="preserve">Incorrect tape has been used to mask holes in Fuel Tanks lately. </t>
  </si>
  <si>
    <t>22-065</t>
  </si>
  <si>
    <t>All Weldments with Weld Nuts</t>
  </si>
  <si>
    <t>Weld /  Eng</t>
  </si>
  <si>
    <t>CAR 22-554</t>
  </si>
  <si>
    <t>weld nuts were not centred on holes</t>
  </si>
  <si>
    <t>22-066</t>
  </si>
  <si>
    <t>Weld Parameters</t>
  </si>
  <si>
    <t>Weld Parameters are not being followed by all welders as tracked by our Layered Process Audits</t>
  </si>
  <si>
    <t>22-067</t>
  </si>
  <si>
    <t>Field Failure</t>
  </si>
  <si>
    <r>
      <t xml:space="preserve">Field failuer reported, part 58D5400140 one piece off location causing emergency ladder to not funtion properly. </t>
    </r>
    <r>
      <rPr>
        <sz val="11"/>
        <color rgb="FFFF0000"/>
        <rFont val="Calibri"/>
        <family val="2"/>
        <scheme val="minor"/>
      </rPr>
      <t>Added to PDF</t>
    </r>
  </si>
  <si>
    <t>22-068</t>
  </si>
  <si>
    <t>All Cabinet structures unless otherwise stated</t>
  </si>
  <si>
    <t>Outside egde of cabinet door opening should be painted white.</t>
  </si>
  <si>
    <t>22-069</t>
  </si>
  <si>
    <t>NDT</t>
  </si>
  <si>
    <t>Plugs to be used during NDT to prevent water entering the tank</t>
  </si>
  <si>
    <t>22-070</t>
  </si>
  <si>
    <t>Plate Insep Assemblies (Tacos)</t>
  </si>
  <si>
    <t>CAR 22-557</t>
  </si>
  <si>
    <t>Gouging and wear marks violated minimum material thickness.</t>
  </si>
  <si>
    <t>22-071</t>
  </si>
  <si>
    <t>58E0600760 Plate</t>
  </si>
  <si>
    <t>Part was formed backwards. Alert added to drawing</t>
  </si>
  <si>
    <t>22-072</t>
  </si>
  <si>
    <t>Axle Housings - Panhard Sleeves</t>
  </si>
  <si>
    <t>Machining/Weld</t>
  </si>
  <si>
    <t>NCR 22-671</t>
  </si>
  <si>
    <t>Pins are not fitting easily through the sleeves in the panhard after weld process.  Collect CMM data at various stages of the proces. 
Delayed for signing, and process changed again. CANCELLED</t>
  </si>
  <si>
    <t>Cancelled</t>
  </si>
  <si>
    <t>22-073</t>
  </si>
  <si>
    <t>Multiple painted parts</t>
  </si>
  <si>
    <t>Multiple assemblies with low paint Mil readings</t>
  </si>
  <si>
    <t>22-074</t>
  </si>
  <si>
    <t>1069385-001 Tunnel</t>
  </si>
  <si>
    <t>bevel</t>
  </si>
  <si>
    <t>CAR 22-563</t>
  </si>
  <si>
    <t>incorrect bevel on tunnel</t>
  </si>
  <si>
    <t>22-075</t>
  </si>
  <si>
    <t>10650199-002</t>
  </si>
  <si>
    <t>Form/Warehouse</t>
  </si>
  <si>
    <t>NCR 22-680</t>
  </si>
  <si>
    <t>Deep clamp marks, distortion</t>
  </si>
  <si>
    <t>22-076</t>
  </si>
  <si>
    <t>LS1131717 Side Frame</t>
  </si>
  <si>
    <t>Weld/Warehouse</t>
  </si>
  <si>
    <t>CAR 22-564</t>
  </si>
  <si>
    <t>missing 3 tapped pads (PN 10627312)</t>
  </si>
  <si>
    <t>22-077</t>
  </si>
  <si>
    <t>22-567</t>
  </si>
  <si>
    <t xml:space="preserve">2 boss on the RH inside rear should be 120 mm apart and are 130 
58e5408924  item 3   f-33   section L-L      </t>
  </si>
  <si>
    <t>22-078</t>
  </si>
  <si>
    <t>All Cabinets</t>
  </si>
  <si>
    <t xml:space="preserve">Assembly/Shipping/Final Inspection </t>
  </si>
  <si>
    <t>NCR 22-578</t>
  </si>
  <si>
    <t xml:space="preserve">Missed paint on hinges </t>
  </si>
  <si>
    <t>22-079</t>
  </si>
  <si>
    <t>22-575 / 22-576 / 22-577</t>
  </si>
  <si>
    <t>paint overspray and light coverage</t>
  </si>
  <si>
    <t>22-080</t>
  </si>
  <si>
    <t>Blasted Product</t>
  </si>
  <si>
    <t>do not walk on blasted product</t>
  </si>
  <si>
    <t>22-081</t>
  </si>
  <si>
    <t xml:space="preserve">Reminder to cross reference and check Rev level of print and part.
Hardware was installed off location due to this.   </t>
  </si>
  <si>
    <t>22-082</t>
  </si>
  <si>
    <t>NCR 22-743</t>
  </si>
  <si>
    <t>consumable failure caused unacceptable kerf angle</t>
  </si>
  <si>
    <t>22-083</t>
  </si>
  <si>
    <t>CAR 22-588</t>
  </si>
  <si>
    <t xml:space="preserve">Stud welds have inconsistent adhesion </t>
  </si>
  <si>
    <t>22-084</t>
  </si>
  <si>
    <t>Difficult to reach area needs extra attention - wrap end</t>
  </si>
  <si>
    <t>22-085</t>
  </si>
  <si>
    <t>2022-010-25</t>
  </si>
  <si>
    <t>Oversized welds on top skins</t>
  </si>
  <si>
    <t>22-086</t>
  </si>
  <si>
    <t>22-593</t>
  </si>
  <si>
    <t>overspray on white paint in manhole opening</t>
  </si>
  <si>
    <t>22-087</t>
  </si>
  <si>
    <t>Raw material (no paint) stamping verification</t>
  </si>
  <si>
    <t>22-595</t>
  </si>
  <si>
    <t>Wrong part shipped due to having only the last 4 numbers on the pc part. Drawing not present during stamping process</t>
  </si>
  <si>
    <t>22-088</t>
  </si>
  <si>
    <t>incorrect use of seam sealer</t>
  </si>
  <si>
    <t>22-089</t>
  </si>
  <si>
    <t>missing weld at end of panhard (should not be ground flat)</t>
  </si>
  <si>
    <t>22-090</t>
  </si>
  <si>
    <t>22-596</t>
  </si>
  <si>
    <t>incorrect tapped pad installed</t>
  </si>
  <si>
    <t>22-091</t>
  </si>
  <si>
    <t>All top surfaces are to be flush within 1mm if not the welds must be ground flush to higher surface</t>
  </si>
  <si>
    <t>22-092</t>
  </si>
  <si>
    <t>22-599</t>
  </si>
  <si>
    <t xml:space="preserve"> TZ8544 coupling was found at incorrect angle to axle shell</t>
  </si>
  <si>
    <t>22-093</t>
  </si>
  <si>
    <t>Stud Welding</t>
  </si>
  <si>
    <t>22-588</t>
  </si>
  <si>
    <t>Follow up to Alert 22-083 to add details regarding settings</t>
  </si>
  <si>
    <t>22-094</t>
  </si>
  <si>
    <t>22-556</t>
  </si>
  <si>
    <t>Remind operators and material handlers of Move Tag Process and importance of closing operations on the WO and in Visual
Re-issued 02DEC2022 due to CAR 22-683</t>
  </si>
  <si>
    <t>2022-09-30
22FEB2023</t>
  </si>
  <si>
    <t>22-095</t>
  </si>
  <si>
    <t>SP-073 Chassis</t>
  </si>
  <si>
    <t>22-601</t>
  </si>
  <si>
    <t xml:space="preserve">Axle is out of alignment by 2".  Use new fixture, and have QA check.  </t>
  </si>
  <si>
    <t>22-096</t>
  </si>
  <si>
    <t>Plated must be kept flush with tubes and channels</t>
  </si>
  <si>
    <t>22-097</t>
  </si>
  <si>
    <t>10742384-011 Plate Insep Assemby</t>
  </si>
  <si>
    <t>22-592</t>
  </si>
  <si>
    <r>
      <t xml:space="preserve">Due to some variability with forming, the machining operator must indicate off the formed edge to determine the overall length. 
</t>
    </r>
    <r>
      <rPr>
        <sz val="11"/>
        <color rgb="FFFF0000"/>
        <rFont val="Calibri"/>
        <family val="2"/>
        <scheme val="minor"/>
      </rPr>
      <t>CANCELLED - after measuring the returned part, it was determined to be a forming issue</t>
    </r>
  </si>
  <si>
    <t>22-098</t>
  </si>
  <si>
    <t>MACK</t>
  </si>
  <si>
    <t>24036590 Front Bumper Kit</t>
  </si>
  <si>
    <t>Positive metal at various areas and light top coat paint</t>
  </si>
  <si>
    <t>22-099</t>
  </si>
  <si>
    <t xml:space="preserve"> 58F2200054  Axle Housing</t>
  </si>
  <si>
    <t>22-614</t>
  </si>
  <si>
    <t>Paint on weld seat should not be there</t>
  </si>
  <si>
    <t>22-100</t>
  </si>
  <si>
    <t>58F2200054 Axle Housing</t>
  </si>
  <si>
    <t>22-608</t>
  </si>
  <si>
    <t>poor weld quality around outside of air tube - QA inspect at 220</t>
  </si>
  <si>
    <t>22-101</t>
  </si>
  <si>
    <t>PDF</t>
  </si>
  <si>
    <t>Mack bumper assemblies</t>
  </si>
  <si>
    <t>Weld Quality and no weld areas to follow</t>
  </si>
  <si>
    <t>22-102</t>
  </si>
  <si>
    <t>Frame Mount</t>
  </si>
  <si>
    <t>22-103</t>
  </si>
  <si>
    <t>All Mack Defense Parts</t>
  </si>
  <si>
    <t xml:space="preserve">Spatter/weld wire not cleaned </t>
  </si>
  <si>
    <t>22-104</t>
  </si>
  <si>
    <t>All Hardness tested product</t>
  </si>
  <si>
    <t>Hardness test area violates material thickness</t>
  </si>
  <si>
    <t>22-105</t>
  </si>
  <si>
    <t>Cab doors</t>
  </si>
  <si>
    <t>Weld Doors</t>
  </si>
  <si>
    <t>Over processing causing thin material/fitment issues due to not using clamping correctly</t>
  </si>
  <si>
    <t>22-106</t>
  </si>
  <si>
    <t xml:space="preserve">Wiring safety issue reported by Komatsu, change the way the wire ends are tapped </t>
  </si>
  <si>
    <t>22-107</t>
  </si>
  <si>
    <t>Axle Rings</t>
  </si>
  <si>
    <t>Cutting/Rolling</t>
  </si>
  <si>
    <t>22-621</t>
  </si>
  <si>
    <t xml:space="preserve">Supplied Axle rings have pitting in the shell. . </t>
  </si>
  <si>
    <t>22-108</t>
  </si>
  <si>
    <t>Blending</t>
  </si>
  <si>
    <t xml:space="preserve">Missed blending operation on the 1565.9 dia. as per note on print </t>
  </si>
  <si>
    <t>22-109</t>
  </si>
  <si>
    <t>Supplied cut piece parts</t>
  </si>
  <si>
    <t xml:space="preserve">Quality not acceptable </t>
  </si>
  <si>
    <t>22-110</t>
  </si>
  <si>
    <t>All Mack Defence lifting lugs</t>
  </si>
  <si>
    <t xml:space="preserve">Customer requirement to have a minimum 2mm chamfer on lugs </t>
  </si>
  <si>
    <t>22-111</t>
  </si>
  <si>
    <t>23770724-1</t>
  </si>
  <si>
    <t>Out source forming</t>
  </si>
  <si>
    <t>Request that outside vendors forming Mack defence parts to be aware of pitting issues in material and if excessive pitting found before forming do no form part</t>
  </si>
  <si>
    <t>22-112</t>
  </si>
  <si>
    <t>Axle Housing 58B2200502</t>
  </si>
  <si>
    <t>Contamination</t>
  </si>
  <si>
    <t>Shot accumulates around steps beside Air Tube. Ensure this area is cleaned of all shot material before painting</t>
  </si>
  <si>
    <t>22-113</t>
  </si>
  <si>
    <t>22-627</t>
  </si>
  <si>
    <t xml:space="preserve">Final Paint inspection should be completed 24 to 72 hours after paint application whenever possible. </t>
  </si>
  <si>
    <t>22-114</t>
  </si>
  <si>
    <t>58F2400701</t>
  </si>
  <si>
    <t>Stud welded on an angle instead of straight</t>
  </si>
  <si>
    <t>22-115</t>
  </si>
  <si>
    <t>paint Contamination</t>
  </si>
  <si>
    <t>Paint/Blast</t>
  </si>
  <si>
    <t>Missed caps on studs.  Ensure threads are not painted</t>
  </si>
  <si>
    <t>22-116</t>
  </si>
  <si>
    <t>22-632</t>
  </si>
  <si>
    <t>incorrect clocking on end plate</t>
  </si>
  <si>
    <t>22-117</t>
  </si>
  <si>
    <t>58F2200054 Axle Kit</t>
  </si>
  <si>
    <t>22-638</t>
  </si>
  <si>
    <t>EG0581 component was found with missing threads</t>
  </si>
  <si>
    <t>11NOV2022 Wdsk
14APR2023 Stfd</t>
  </si>
  <si>
    <t>22-118</t>
  </si>
  <si>
    <t>58F2200900 Axle Housing</t>
  </si>
  <si>
    <t>Off Location Component</t>
  </si>
  <si>
    <t>22-643</t>
  </si>
  <si>
    <t>DB2161 tapped pad off location.  Cover would not install at Komatsu assembly.</t>
  </si>
  <si>
    <t>22-119</t>
  </si>
  <si>
    <t>Deck Assemblies</t>
  </si>
  <si>
    <t>Completing the ITP during the weld process</t>
  </si>
  <si>
    <t>22-120</t>
  </si>
  <si>
    <t>Cross members</t>
  </si>
  <si>
    <t>Over processing by welding where not needed</t>
  </si>
  <si>
    <t>22-121</t>
  </si>
  <si>
    <t>58C2210301 Axle Housing</t>
  </si>
  <si>
    <t>Wrong Orientation</t>
  </si>
  <si>
    <t>22-654</t>
  </si>
  <si>
    <t>Component EG1796 was welded in the wrong orientation</t>
  </si>
  <si>
    <t>22-122</t>
  </si>
  <si>
    <t>58C541040 Mount A., Isolation</t>
  </si>
  <si>
    <t>Parts got painted over the machined surfaces. Did not meet 35.7 "no weld" call out on print</t>
  </si>
  <si>
    <t>22-123</t>
  </si>
  <si>
    <t>Cabinet structures</t>
  </si>
  <si>
    <t>Poor weld quality</t>
  </si>
  <si>
    <t>22-124</t>
  </si>
  <si>
    <t>Parts off location (nuts not centered properly)</t>
  </si>
  <si>
    <t>22-125</t>
  </si>
  <si>
    <t>Deck Structures</t>
  </si>
  <si>
    <r>
      <t>Light box installed 180</t>
    </r>
    <r>
      <rPr>
        <sz val="11"/>
        <color theme="1"/>
        <rFont val="Calibri"/>
        <family val="2"/>
        <scheme val="minor"/>
      </rPr>
      <t>°</t>
    </r>
    <r>
      <rPr>
        <sz val="9.8000000000000007"/>
        <color theme="1"/>
        <rFont val="Calibri"/>
        <family val="2"/>
        <scheme val="minor"/>
      </rPr>
      <t xml:space="preserve"> off location </t>
    </r>
  </si>
  <si>
    <t>22-126</t>
  </si>
  <si>
    <t>Cutting/Debur/Blast/Warehouse</t>
  </si>
  <si>
    <t>NCR 22-804</t>
  </si>
  <si>
    <t>poor quality of cut with lead in/lead out areas</t>
  </si>
  <si>
    <t>22-127</t>
  </si>
  <si>
    <t>23970724-02 Lifting Lug</t>
  </si>
  <si>
    <t>Debur</t>
  </si>
  <si>
    <t>chamfer inconsistencies, chatter from tool</t>
  </si>
  <si>
    <t>22-128</t>
  </si>
  <si>
    <t>Platform Decks</t>
  </si>
  <si>
    <t>454821/456420</t>
  </si>
  <si>
    <t>Top skins are covering the tapped hole of the corosponding part</t>
  </si>
  <si>
    <t>22-129</t>
  </si>
  <si>
    <t>22-684</t>
  </si>
  <si>
    <t>bracket will not allow fitting to assemble at Militex</t>
  </si>
  <si>
    <t>22-130</t>
  </si>
  <si>
    <t xml:space="preserve">Cab </t>
  </si>
  <si>
    <t xml:space="preserve">22-686 </t>
  </si>
  <si>
    <t>Porosity in door jamb assembly</t>
  </si>
  <si>
    <t>22-131</t>
  </si>
  <si>
    <t>22-686</t>
  </si>
  <si>
    <t>Crack/lack of fusion in foot pad weld, peening short of print requirement</t>
  </si>
  <si>
    <t>22-132</t>
  </si>
  <si>
    <t>Cab Door Assemblies (58E5410081/0091)</t>
  </si>
  <si>
    <t>Doors are being built out of square and will not fit on cab correctly</t>
  </si>
  <si>
    <t>22-133</t>
  </si>
  <si>
    <t>Support Structures</t>
  </si>
  <si>
    <t>512323/512331</t>
  </si>
  <si>
    <t>Tapped pads off location. Fixture not used</t>
  </si>
  <si>
    <t>23-001</t>
  </si>
  <si>
    <t>woodstock</t>
  </si>
  <si>
    <t>Machining /
Blast</t>
  </si>
  <si>
    <t>Excess grease around tapped holes needs to be cleaned up more</t>
  </si>
  <si>
    <t>23-002</t>
  </si>
  <si>
    <t>Panhard on Axle Housing</t>
  </si>
  <si>
    <t>CAR 22-568</t>
  </si>
  <si>
    <t>preheating process needs to be followed when welding the panhard to the axle housing</t>
  </si>
  <si>
    <t>23-003</t>
  </si>
  <si>
    <t>Cab door frame welds</t>
  </si>
  <si>
    <t>Excessive weld in corners of door frame causing the door to touch and damage paint</t>
  </si>
  <si>
    <t>23-004</t>
  </si>
  <si>
    <t>Upright Str</t>
  </si>
  <si>
    <t>Poor weld finish (lack of fusion/weld berries/undercut)</t>
  </si>
  <si>
    <t>23-005</t>
  </si>
  <si>
    <t>Nut not centerd on plate correctly bolt wiil not thread</t>
  </si>
  <si>
    <t>23-006</t>
  </si>
  <si>
    <t>Heat # Traceability</t>
  </si>
  <si>
    <t>Ensure all operators are trained in Traceability requirements</t>
  </si>
  <si>
    <t>several</t>
  </si>
  <si>
    <t>23-007</t>
  </si>
  <si>
    <t xml:space="preserve">Customer requirement to have RP added to machined surfaces </t>
  </si>
  <si>
    <t>23-008</t>
  </si>
  <si>
    <t>Cab assembly</t>
  </si>
  <si>
    <t>1 MM0576 Weld nut on 58E-54-24322 Brake/steering bracket is welded off center of hole.</t>
  </si>
  <si>
    <t>23-009</t>
  </si>
  <si>
    <t>X830006678 Cab G.,</t>
  </si>
  <si>
    <t>Komatsu reported off location defect for item 58E5409342 bracket. 
Measures 258 instead of 283.7mm.</t>
  </si>
  <si>
    <t>23-010</t>
  </si>
  <si>
    <t>Bumper lugs</t>
  </si>
  <si>
    <t>Customer reports of one bumper lug missing beveling</t>
  </si>
  <si>
    <t>23-011</t>
  </si>
  <si>
    <t>58B5463700 Platform A., Center Deck</t>
  </si>
  <si>
    <t>missing two MM0648 weld studs for the air intake temp harness   @ P-30,32</t>
  </si>
  <si>
    <t>23-012</t>
  </si>
  <si>
    <t>40437260 End Housing Assy</t>
  </si>
  <si>
    <t>CAR 23-021</t>
  </si>
  <si>
    <t xml:space="preserve">incorrect plate was used in the weldment. </t>
  </si>
  <si>
    <t>23-013</t>
  </si>
  <si>
    <t>Bore Oversized</t>
  </si>
  <si>
    <t>CAR 23-022</t>
  </si>
  <si>
    <t>panhard sleeve ID is oversized</t>
  </si>
  <si>
    <t>23-014</t>
  </si>
  <si>
    <t>21470184-001 Find #4 Bar</t>
  </si>
  <si>
    <t>CAR 23-024</t>
  </si>
  <si>
    <t>Incorrect material was used.  Verify to print and remember that general tolerances do not apply to material thickness.</t>
  </si>
  <si>
    <t>23-015</t>
  </si>
  <si>
    <t>Panhard on Axle Housing
CANCELLED</t>
  </si>
  <si>
    <r>
      <t xml:space="preserve">Ensure bracing is installed prior to welding to axle housing
</t>
    </r>
    <r>
      <rPr>
        <b/>
        <sz val="11"/>
        <color theme="1"/>
        <rFont val="Calibri"/>
        <family val="2"/>
        <scheme val="minor"/>
      </rPr>
      <t>REPLACED BY ALERT # 23-017</t>
    </r>
  </si>
  <si>
    <t>23-016</t>
  </si>
  <si>
    <t>Bumper Lugs</t>
  </si>
  <si>
    <t>CAR 23-020</t>
  </si>
  <si>
    <t>Customer found missing chamfer.  Bevel operator to mark each bevel with a mark to indicate 100% certified for all bevels.</t>
  </si>
  <si>
    <t>23-017</t>
  </si>
  <si>
    <t>Panhard at OKK M/C</t>
  </si>
  <si>
    <t>Weld/Machining</t>
  </si>
  <si>
    <t>install bracing on panhard ears and mark print to include with ITP</t>
  </si>
  <si>
    <t>23-018</t>
  </si>
  <si>
    <t>Brake Cabinet 58F5451141</t>
  </si>
  <si>
    <t>HD3680 coupling installed over wrong hole on bottom of cabinet</t>
  </si>
  <si>
    <t>23-019</t>
  </si>
  <si>
    <t xml:space="preserve">Bumper bracket assemblies. </t>
  </si>
  <si>
    <t>Gusset welded off location due to tack breaking during the weld process</t>
  </si>
  <si>
    <t>23-020</t>
  </si>
  <si>
    <t>EMD/Progress Rail products</t>
  </si>
  <si>
    <t>CAR 23-041</t>
  </si>
  <si>
    <t>several paint defects have been found at Stratford recently from Woodstock paint process</t>
  </si>
  <si>
    <t>23-021</t>
  </si>
  <si>
    <t>Change in process to have operators 175 B for fit/weld in zones not continuous - Lee to create</t>
  </si>
  <si>
    <t>23-022</t>
  </si>
  <si>
    <t>Platform Center Deck 58E5453290</t>
  </si>
  <si>
    <t xml:space="preserve">1 pc found in yard nonconforming to the print. Pad 58f5410760 should have a hole center to center of 185 and is actually measuring 175                                     </t>
  </si>
  <si>
    <t>23-023</t>
  </si>
  <si>
    <t>ITPs for All Axle Housings</t>
  </si>
  <si>
    <t>Weld / Blast / Paint</t>
  </si>
  <si>
    <t>CAR 23-048</t>
  </si>
  <si>
    <t>New documentation created for Sign off of Pin check.  All models of Axle Housings now have ITPs</t>
  </si>
  <si>
    <t>23-024</t>
  </si>
  <si>
    <t>58B2201500 Porosity on Weld</t>
  </si>
  <si>
    <t>Porosity</t>
  </si>
  <si>
    <t>CAR 23-035</t>
  </si>
  <si>
    <t>QC 4.5 specs for Porosity reminder</t>
  </si>
  <si>
    <t>23-025</t>
  </si>
  <si>
    <t>damaged thread</t>
  </si>
  <si>
    <t>Assembly / QA / 
Shipping</t>
  </si>
  <si>
    <t>CAR 23-014</t>
  </si>
  <si>
    <t>Ensure threads are not damaged throughout process</t>
  </si>
  <si>
    <t>23-026</t>
  </si>
  <si>
    <t>Clarity for fixtures/templates</t>
  </si>
  <si>
    <t>Review all fixtures used.  If any discrepancies, contact Team Lead / Supervisor to get updates</t>
  </si>
  <si>
    <t>Not issued</t>
  </si>
  <si>
    <t>23-027</t>
  </si>
  <si>
    <t>Off location issue by using template incorrectly</t>
  </si>
  <si>
    <t>Hold Tag 
CAR 23-053</t>
  </si>
  <si>
    <t>new fixtue in design phase, ensure tapped pads are installed to print</t>
  </si>
  <si>
    <t>23-028</t>
  </si>
  <si>
    <t>58B5422835 contorl box ,EH3514- Sub</t>
  </si>
  <si>
    <t>Lack of fusion from down -handed weld</t>
  </si>
  <si>
    <t>23-029</t>
  </si>
  <si>
    <t>Upright LH, 58F4600541</t>
  </si>
  <si>
    <t>Porosity where the sum of the inidications equals greater than 10mm in a 100mm</t>
  </si>
  <si>
    <t>23-030</t>
  </si>
  <si>
    <t>Platform A, LH deck</t>
  </si>
  <si>
    <t xml:space="preserve">Missing one MM0648 stud </t>
  </si>
  <si>
    <t>23-031</t>
  </si>
  <si>
    <t>Sub Arc</t>
  </si>
  <si>
    <t>Incorrect gap between plate and ring at Weld Cell 157. 
Needs rework for next operation at Sub Arc.</t>
  </si>
  <si>
    <t>23-032</t>
  </si>
  <si>
    <t>End Housings</t>
  </si>
  <si>
    <t>Cut / Weld / 
Blast / Paint</t>
  </si>
  <si>
    <t>Surface finish found unacceptable. Pitting has areas that violate minimum material thickness. Issued to Stratford and Woodstock.</t>
  </si>
  <si>
    <t>23-033</t>
  </si>
  <si>
    <t>X830002517 Cab</t>
  </si>
  <si>
    <t>Crack on LH rear foot plate</t>
  </si>
  <si>
    <t>23-034</t>
  </si>
  <si>
    <t>Cast Axle Housings</t>
  </si>
  <si>
    <t>Standard work changes for Heavy Cast models</t>
  </si>
  <si>
    <t>23-035</t>
  </si>
  <si>
    <t>Oversized Weld</t>
  </si>
  <si>
    <t>Reminder about max size for one pass</t>
  </si>
  <si>
    <t>23-036</t>
  </si>
  <si>
    <t>58F5400103 Platform Structure RH</t>
  </si>
  <si>
    <t>Incomplete 6mm Fillet both sides @ J-26 on Item 27 to 28. Incomplete 6mm Fillet all around @ O-37 on Item 24</t>
  </si>
  <si>
    <t>23-037</t>
  </si>
  <si>
    <t>58E5452740 Platform A., LH Deck</t>
  </si>
  <si>
    <t>During assembly at G&amp;D, 1 MM0073 bolt and 1 MM0082 were found broken off of deck. Deck was set on transport stand improperly at supplier per marks on stand.</t>
  </si>
  <si>
    <t>23-038</t>
  </si>
  <si>
    <t>58F5403810  Cover Top STR.</t>
  </si>
  <si>
    <t>58F5403810 COVER, TOP, STR arrrived at PMO with handling damage</t>
  </si>
  <si>
    <t>23-039</t>
  </si>
  <si>
    <t xml:space="preserve">58E5413006 BRACKET A., DASH MID </t>
  </si>
  <si>
    <t>58E5410931 bracket should measure 17.0 +/-.5 mm tall,actual measurement is approx. 25mm tall</t>
  </si>
  <si>
    <t>23-040</t>
  </si>
  <si>
    <t>X830030670</t>
  </si>
  <si>
    <t>From X830030670 print to Item 2, 58E5408924 print toItem 5, 58E5408938 print to Item 6, 58E5408945 print to Item 18, 58E5440602 Cab A., Left Wall print &amp; 58E5440612. Cab A., Right Wall print. Refer to STD.4.01.001 for peenin</t>
  </si>
  <si>
    <t>23-041</t>
  </si>
  <si>
    <t>835 and 945 Tunnels</t>
  </si>
  <si>
    <t>CAR 23-045</t>
  </si>
  <si>
    <t>Record sub component WO numbers in Comment field when entering in Visual</t>
  </si>
  <si>
    <t>2023-05-16
11JUL2023</t>
  </si>
  <si>
    <t>23-042</t>
  </si>
  <si>
    <t>all Cabinets</t>
  </si>
  <si>
    <t>the seam weld at the top front of all cabinets is to be welded and clean only. Do not grind flush.</t>
  </si>
  <si>
    <t>23-043</t>
  </si>
  <si>
    <t>X830022112 Cab G</t>
  </si>
  <si>
    <t>Excessive weld berries on rear of cab under canopy in top corners around weld nuts for lifting eyes</t>
  </si>
  <si>
    <t>23-044</t>
  </si>
  <si>
    <t>58F5451141 Brake cabinet</t>
  </si>
  <si>
    <t>Costomer found both supports (58B5422970) are welded out of square causing the cabinet not to mount on Cab</t>
  </si>
  <si>
    <t>23-045</t>
  </si>
  <si>
    <t>Volvo / Mack Defense</t>
  </si>
  <si>
    <t xml:space="preserve"> 24014085 Cross Member</t>
  </si>
  <si>
    <t>CAR 23-108</t>
  </si>
  <si>
    <t>parts were shipped to Militex without the M/C operation completed</t>
  </si>
  <si>
    <t>23-046</t>
  </si>
  <si>
    <t>LS1117450 / LS117452 Tacos</t>
  </si>
  <si>
    <t>Form / Bevel</t>
  </si>
  <si>
    <t>CAR 23-104</t>
  </si>
  <si>
    <t>parts were potentially mixed</t>
  </si>
  <si>
    <t>23-047</t>
  </si>
  <si>
    <t>Caterpillar</t>
  </si>
  <si>
    <t>169-2677Gear Case</t>
  </si>
  <si>
    <t>CAR 23-098</t>
  </si>
  <si>
    <t>undersized bore diameter - verify all documentation is provided</t>
  </si>
  <si>
    <t>23-048</t>
  </si>
  <si>
    <t>CAR 23-070</t>
  </si>
  <si>
    <t>shipped with additional paperwork - Hold Tag</t>
  </si>
  <si>
    <t>23-049</t>
  </si>
  <si>
    <t xml:space="preserve">Raw Material  </t>
  </si>
  <si>
    <t>Receiving/Cutting</t>
  </si>
  <si>
    <t>CAR 23-059</t>
  </si>
  <si>
    <t>LS1080688 has Linear Indications on the Exterior Side of the Plate
(Notification to all suppliers)</t>
  </si>
  <si>
    <t>23-050</t>
  </si>
  <si>
    <t>Strut Tubes LS1105437 and LS1105438</t>
  </si>
  <si>
    <t>spatter inside needs to be cleaned up</t>
  </si>
  <si>
    <t>23-051</t>
  </si>
  <si>
    <t>ECN 23-072</t>
  </si>
  <si>
    <t>Stamp parts using provided self inking stamp, updating trimming program</t>
  </si>
  <si>
    <t>ENGINEERING</t>
  </si>
  <si>
    <t>23-052</t>
  </si>
  <si>
    <t>58B2200812 Axle Housing</t>
  </si>
  <si>
    <t>Drill / Tap</t>
  </si>
  <si>
    <t>CAR 23-103</t>
  </si>
  <si>
    <t>Tapped operation was missed after drilling</t>
  </si>
  <si>
    <t>23-053</t>
  </si>
  <si>
    <t>513277/513346</t>
  </si>
  <si>
    <t>Oil canning at different areas</t>
  </si>
  <si>
    <t>23-054</t>
  </si>
  <si>
    <t>FAI Process</t>
  </si>
  <si>
    <t xml:space="preserve">QA </t>
  </si>
  <si>
    <t>Ensure Stamp is present on print to record Heat #</t>
  </si>
  <si>
    <t>23-055</t>
  </si>
  <si>
    <t>Olympic (GDLS)</t>
  </si>
  <si>
    <t>Fuel Pump Bracket</t>
  </si>
  <si>
    <t>CAR 23-117</t>
  </si>
  <si>
    <t>Hole alignment was not correct</t>
  </si>
  <si>
    <t>2023-07-05
11JUL2023</t>
  </si>
  <si>
    <t>23-056</t>
  </si>
  <si>
    <t>Creating DXF files</t>
  </si>
  <si>
    <t>CAR 23-110</t>
  </si>
  <si>
    <t>DXF was set an min tolerance instead of mid-point</t>
  </si>
  <si>
    <t>1 + ENG email distribution</t>
  </si>
  <si>
    <t>23-057</t>
  </si>
  <si>
    <t xml:space="preserve">58F5416001 </t>
  </si>
  <si>
    <t>CAR 23-121</t>
  </si>
  <si>
    <t>Missing weld one side of Item 4 one place. (Weld callout @ L-23, Item 4 located @ H-5).  3mm fillet / flare bevel weld ground flat 4X @ G-35.   Flare bevel weld not ground flat 2 places as specified.</t>
  </si>
  <si>
    <t>23-058</t>
  </si>
  <si>
    <t xml:space="preserve"> X830027782 CAB G</t>
  </si>
  <si>
    <t>CAR 23-123</t>
  </si>
  <si>
    <t>Cab recieved at PMO missing door handle clip</t>
  </si>
  <si>
    <t>23-059</t>
  </si>
  <si>
    <t>58B5461691 / 58E5452740</t>
  </si>
  <si>
    <t>CAR 23-091 / CAR 23-101</t>
  </si>
  <si>
    <t>23-060</t>
  </si>
  <si>
    <t>Tacos LS1117450 / LS1117452</t>
  </si>
  <si>
    <t>Forming / QA</t>
  </si>
  <si>
    <t xml:space="preserve">Customer found Go-NoGo gauge did not fit </t>
  </si>
  <si>
    <t>23-061</t>
  </si>
  <si>
    <t>LS1080688 RHSPONSON INTERIOR</t>
  </si>
  <si>
    <t>CAR 23-124</t>
  </si>
  <si>
    <t>Customer found plate defect that violated material thickness</t>
  </si>
  <si>
    <t>23-062</t>
  </si>
  <si>
    <t>58F54511400 Platform A, RH Deck Str</t>
  </si>
  <si>
    <t>CAR 23-135</t>
  </si>
  <si>
    <t>During assembly at G&amp;D deck was found missing 1 pc of 0819321012 dt clip for harness routing</t>
  </si>
  <si>
    <t>23-063</t>
  </si>
  <si>
    <t>X830003073 Cab G</t>
  </si>
  <si>
    <t>CAR 23-136</t>
  </si>
  <si>
    <t>Cab recieved at PMO missing two MM0576 10mm weld nuts on the bottom of 58D-54-80840</t>
  </si>
  <si>
    <t>23-064</t>
  </si>
  <si>
    <t>40211593 Bumper</t>
  </si>
  <si>
    <t xml:space="preserve">Blast </t>
  </si>
  <si>
    <t>Ensure threaded holes are protected during blast process</t>
  </si>
  <si>
    <t>23-065</t>
  </si>
  <si>
    <t>Mack</t>
  </si>
  <si>
    <t>24014283, 24014285 Frame mounting bracket</t>
  </si>
  <si>
    <t>CAR 23-142</t>
  </si>
  <si>
    <t>A massive puddle of weld in the middle of the weldment that wont allow the bracket to sit flush</t>
  </si>
  <si>
    <t>23-066</t>
  </si>
  <si>
    <t>CAR 23-086</t>
  </si>
  <si>
    <t>SP-039 Rev-D (Item 29) are welded at the wrong locations.</t>
  </si>
  <si>
    <t>23-067</t>
  </si>
  <si>
    <t xml:space="preserve">Komatsu </t>
  </si>
  <si>
    <t>58B2201500 Axle Housing</t>
  </si>
  <si>
    <t>Missing Component</t>
  </si>
  <si>
    <t>CAR 23-082</t>
  </si>
  <si>
    <t>Missing 1 pc MM0082</t>
  </si>
  <si>
    <t>23-068</t>
  </si>
  <si>
    <t>CAR 23-125</t>
  </si>
  <si>
    <t>missing 3 tie wrap channels</t>
  </si>
  <si>
    <t>23-069</t>
  </si>
  <si>
    <t>58F0250570 Mufflers</t>
  </si>
  <si>
    <t>CAR 23-139</t>
  </si>
  <si>
    <t>Inlet side of muffler out of round, fixture will not fit.  
Dim 256.0mm found undersized</t>
  </si>
  <si>
    <t>23-070</t>
  </si>
  <si>
    <t>All parts</t>
  </si>
  <si>
    <t>Too many missing &amp; offlocation defects</t>
  </si>
  <si>
    <t>23-071</t>
  </si>
  <si>
    <t>58F2200002 Axle Housing</t>
  </si>
  <si>
    <t>CAR 23-144</t>
  </si>
  <si>
    <t>4 bolts off location</t>
  </si>
  <si>
    <t>23-072</t>
  </si>
  <si>
    <t>58C5400951 PLATFORM A, Center Str</t>
  </si>
  <si>
    <t>Inspection</t>
  </si>
  <si>
    <t>CAR 23-147</t>
  </si>
  <si>
    <t>Undersized hole dia.</t>
  </si>
  <si>
    <t>23-073</t>
  </si>
  <si>
    <t>SP-2974 Chassis</t>
  </si>
  <si>
    <t>CAR 23-149</t>
  </si>
  <si>
    <t>overbent condidtion of formed part caused variable gap in assembly</t>
  </si>
  <si>
    <t>23-074</t>
  </si>
  <si>
    <t>missed sub component in kit</t>
  </si>
  <si>
    <t>23-075</t>
  </si>
  <si>
    <t>CANCELLED</t>
  </si>
  <si>
    <t>EMD</t>
  </si>
  <si>
    <t>LS1080688 Sponsons</t>
  </si>
  <si>
    <t>Blast</t>
  </si>
  <si>
    <t xml:space="preserve">NCR </t>
  </si>
  <si>
    <t xml:space="preserve">missed marking part number details on location from print
</t>
  </si>
  <si>
    <t>CANCELLED
Eng master updated to P2 for marking</t>
  </si>
  <si>
    <t>23-076</t>
  </si>
  <si>
    <t xml:space="preserve">EMJ4381 </t>
  </si>
  <si>
    <t>CAR 23-156</t>
  </si>
  <si>
    <t>drilled holes should be 38.1 mm apart, but are 45 mm instead</t>
  </si>
  <si>
    <t>23-077</t>
  </si>
  <si>
    <t>58D5400030 Bracket</t>
  </si>
  <si>
    <t>CAR 23-152</t>
  </si>
  <si>
    <t>Part was built opposite of print</t>
  </si>
  <si>
    <t>23-078</t>
  </si>
  <si>
    <t>X830029721 Frame G</t>
  </si>
  <si>
    <t>CAR 23-162</t>
  </si>
  <si>
    <t xml:space="preserve">bracket item 20 has the items 3 and 4 switched </t>
  </si>
  <si>
    <t>23-079</t>
  </si>
  <si>
    <t>58F5452850 Platform Center Deck</t>
  </si>
  <si>
    <t>CAR 23-163</t>
  </si>
  <si>
    <t>item 85 is upside down will not allow hanger rod to be installed</t>
  </si>
  <si>
    <t>23-080</t>
  </si>
  <si>
    <t>CAR 23-164</t>
  </si>
  <si>
    <t xml:space="preserve"> 1 pc was found with 71.3 mm dimension on print not kept, 1 pc of 58B8040320 plate measures 76 mm &amp; wrong p/n stamped. 5 pcs found with wrong p/n stamped.</t>
  </si>
  <si>
    <t>23-081</t>
  </si>
  <si>
    <t>58D8030900 SHEET A., BENT LH</t>
  </si>
  <si>
    <t>CAR 23-165</t>
  </si>
  <si>
    <t xml:space="preserve">Weld nuts were found welded to wrong side of bent sheet on 3 pcs </t>
  </si>
  <si>
    <t>23-082</t>
  </si>
  <si>
    <t>Cast components on Axles</t>
  </si>
  <si>
    <t xml:space="preserve">Casting information needs to be recorded on ITP before covered. </t>
  </si>
  <si>
    <t>23-083</t>
  </si>
  <si>
    <t>Painting</t>
  </si>
  <si>
    <t>White paint is not drying</t>
  </si>
  <si>
    <t>23-084</t>
  </si>
  <si>
    <t>58E4620080 Step Str</t>
  </si>
  <si>
    <t>PPAP got rejected. Flare bevel weld missing C-6, Dimension 670.6 ( G-4) measures 674, Item 6 (TY8840) orientation is backwards to print</t>
  </si>
  <si>
    <t>23-085</t>
  </si>
  <si>
    <t>58E4620090 Step Str</t>
  </si>
  <si>
    <t>Flare bevel weld missing ( C-7 ). Item 6 ( TY8840 ) orientation is backwards to print. EM 9112 used for item 7, print calls for EM9113</t>
  </si>
  <si>
    <t>23-086</t>
  </si>
  <si>
    <t>EK5188 Tube Str</t>
  </si>
  <si>
    <t>poor visual weld all the way around the tube, weld needs ground off flush</t>
  </si>
  <si>
    <t>23-087</t>
  </si>
  <si>
    <t>58F5454400 Cabinet</t>
  </si>
  <si>
    <t>Stamping must be done on the skin  prior to welding at the hihlighted location.</t>
  </si>
  <si>
    <t>23-088</t>
  </si>
  <si>
    <t>Cab painting</t>
  </si>
  <si>
    <t xml:space="preserve">Light paint under dash / steering column, and door edges </t>
  </si>
  <si>
    <t>23-089</t>
  </si>
  <si>
    <t xml:space="preserve">58E5452740 PLATFORM A., LH DECK </t>
  </si>
  <si>
    <t>During assembly at G&amp;D 2 wrong studs were found welded to     deck for harness routing. Item 83 should be MM0082 80mm long actual stud used was MM0073 60 mm long. Item 74 should be       MM0073 60 mm lomg, actual stud used was MM0079 70 mm long.</t>
  </si>
  <si>
    <t>23-090</t>
  </si>
  <si>
    <t>Part ID</t>
  </si>
  <si>
    <t>Parts were stamped on inside instead of outside.</t>
  </si>
  <si>
    <t>23-091</t>
  </si>
  <si>
    <t>21475256-001 &amp; 21475257-001</t>
  </si>
  <si>
    <t>ECN 23-095</t>
  </si>
  <si>
    <t>Updated Bend Directions on Flat Pattern/Process Notes</t>
  </si>
  <si>
    <t>Adam</t>
  </si>
  <si>
    <t>23-092</t>
  </si>
  <si>
    <t>Brake cabinet components</t>
  </si>
  <si>
    <t>Wrong weld nuts used</t>
  </si>
  <si>
    <t>23-093</t>
  </si>
  <si>
    <t xml:space="preserve">Off location issues </t>
  </si>
  <si>
    <t>NCR 23-085, 23-079</t>
  </si>
  <si>
    <t xml:space="preserve">Drill and Tap operations need to be marked on the print for 1st, and every tenth product. </t>
  </si>
  <si>
    <t>23-094</t>
  </si>
  <si>
    <t xml:space="preserve">ED5080 tube </t>
  </si>
  <si>
    <t>ED5080 has undersized diamater. Measures 396.6 Upright will not fit in tube. Print calls for 398.7.</t>
  </si>
  <si>
    <t>23-095</t>
  </si>
  <si>
    <t>58B2201620 Hatch, str</t>
  </si>
  <si>
    <t>514121, 896785</t>
  </si>
  <si>
    <t>During assembly at G&amp;D cotter pins for hatch door will not install in EL0157 pins on hatch str. Print dimension of 27.5+/-.8mm was not kept, actual measurement is 25.5mm. One part in inventory found defective as well.</t>
  </si>
  <si>
    <t>23-096</t>
  </si>
  <si>
    <t>58E5433341, 58E5433441, 58E5433311, 58E5433371</t>
  </si>
  <si>
    <t>Parts were formed to the wrong Radius (R9.5 &amp; R17)</t>
  </si>
  <si>
    <t>23-097</t>
  </si>
  <si>
    <t>58E5433301, 58E5433421</t>
  </si>
  <si>
    <t>Welded to the wrong side, Radius side should not be welded</t>
  </si>
  <si>
    <t>23-098</t>
  </si>
  <si>
    <t>58F5452150 Center Deck</t>
  </si>
  <si>
    <t>The 8mm weld size at P-12 is being over sized and causing fit up issues with the mating part</t>
  </si>
  <si>
    <t>23-099</t>
  </si>
  <si>
    <t>58E5453290 Platform Center Deck</t>
  </si>
  <si>
    <t>Missing item 64 seat next to outside LH</t>
  </si>
  <si>
    <t>23-100</t>
  </si>
  <si>
    <t>58B5400981 Platform A., LH Deck Str</t>
  </si>
  <si>
    <t>Multiple issues . Weld at 2 places where there is a call out for No Weld. Porosity, weld berries.</t>
  </si>
  <si>
    <t>23-101</t>
  </si>
  <si>
    <t>Multiple weld issues : Rolled welds/overlap, lack of fusion on welds inside of the channels X2, one underfilled weld.</t>
  </si>
  <si>
    <t>23-102</t>
  </si>
  <si>
    <t>21457753-001 &amp; 21457754-001</t>
  </si>
  <si>
    <t>ECN 23-118</t>
  </si>
  <si>
    <t>23-103</t>
  </si>
  <si>
    <t>Wrong Component</t>
  </si>
  <si>
    <t>Supplier</t>
  </si>
  <si>
    <t>NCR 23-208</t>
  </si>
  <si>
    <t xml:space="preserve">EK4381 Mountig Str. Found welded with wrong plate. EK4381 should have 1 pc of EK4380 and 1 pc of EL0154. Rejected axles has 2pcs of EL0154. </t>
  </si>
  <si>
    <t>23-104</t>
  </si>
  <si>
    <t>Insulators have been left on the studs recently.  They need to be removed by the welder to ensure weld quality.</t>
  </si>
  <si>
    <t>23-105</t>
  </si>
  <si>
    <t>10849759-011-SUB2 and 10849760-011-SUB2</t>
  </si>
  <si>
    <t>No weld is permitted on the inside of the plate FN17</t>
  </si>
  <si>
    <t>23-106</t>
  </si>
  <si>
    <t>10842835-001</t>
  </si>
  <si>
    <t>ECN 23-121</t>
  </si>
  <si>
    <t>Thread pitch changed from M8X1.0 to M8X1.25</t>
  </si>
  <si>
    <t>GN</t>
  </si>
  <si>
    <t>23-107</t>
  </si>
  <si>
    <t>10694448-001</t>
  </si>
  <si>
    <t>CAR 23-231</t>
  </si>
  <si>
    <t>chamfer on wrong side in view D</t>
  </si>
  <si>
    <t>23-108</t>
  </si>
  <si>
    <t xml:space="preserve">Customer is still having challenges with the fit of the door and manhole. </t>
  </si>
  <si>
    <t>23-109</t>
  </si>
  <si>
    <t>Nose Cone layout</t>
  </si>
  <si>
    <t>CAR 23-217</t>
  </si>
  <si>
    <t xml:space="preserve">Off location stud was found at Komatsu.  Use new Transfer Punch set to improve accuracy. </t>
  </si>
  <si>
    <t>23-110</t>
  </si>
  <si>
    <t>Part TY8840 was installed backwards on the step structure</t>
  </si>
  <si>
    <t>23-111</t>
  </si>
  <si>
    <t>Timberline</t>
  </si>
  <si>
    <t>58E0618004 Control Box A., Aux</t>
  </si>
  <si>
    <t>403101
403080</t>
  </si>
  <si>
    <t>Inside left door has mounting plate welded on door upside-down. LH Panel Bars are in the wrong location and will not allow for pabel installation</t>
  </si>
  <si>
    <t>23-112</t>
  </si>
  <si>
    <t>58C5405045 Platform A., RH Deck</t>
  </si>
  <si>
    <t xml:space="preserve">Deck was found with 2 dents on side beam at left side of right deck. Dents have been painted over at supplier. 1 area of poor finish paint coverage found on floor of deck, dull finish. 2 spots found on floor of deck with poor finish, spots appear to have been hand painted leaving poor finish after deck was originally painted. </t>
  </si>
  <si>
    <t>23-113</t>
  </si>
  <si>
    <t>58F5453660 Cab A., Brake Cabi. Int.</t>
  </si>
  <si>
    <t>Brake cabinet recieved at PMO with 2 01571-00609 seats off location. Seats sould meaures 276.5mm from back side of actual measurement on both is approx 254</t>
  </si>
  <si>
    <t>23-114</t>
  </si>
  <si>
    <t>58F5431050</t>
  </si>
  <si>
    <t>Wrong stud was found welded to deck for harness routing. Print calls for MM0067 50 mm length stud, actual stud welded is 60 mm long.</t>
  </si>
  <si>
    <t>23-115</t>
  </si>
  <si>
    <t>X830027783</t>
  </si>
  <si>
    <t>Cab sent in is a X830027783. The supplier taped a paper on the cab as a X830027782. This is also the riveted metal tag on the inside of the door frame. Cab is stamped on the floor pan with the correct P/N.</t>
  </si>
  <si>
    <t>23-116</t>
  </si>
  <si>
    <t>58C5410380 Brake Cabinet</t>
  </si>
  <si>
    <t>Multiple rust in several areas</t>
  </si>
  <si>
    <t>23-117</t>
  </si>
  <si>
    <t>58F5411401 Platform A., RH Deck</t>
  </si>
  <si>
    <t>Paint, Weld</t>
  </si>
  <si>
    <t>Multiple paint and weld issues</t>
  </si>
  <si>
    <t>23-118</t>
  </si>
  <si>
    <t>21464781-001</t>
  </si>
  <si>
    <t>Multiple Reworks for bevelling G-H</t>
  </si>
  <si>
    <t>?</t>
  </si>
  <si>
    <t>23-119</t>
  </si>
  <si>
    <t>All PPAP parts</t>
  </si>
  <si>
    <t>Weld, Paint</t>
  </si>
  <si>
    <t>Many PAPP parts got rejected for weld issues</t>
  </si>
  <si>
    <t>23-120</t>
  </si>
  <si>
    <t>10849759-011 Fuel Tanks</t>
  </si>
  <si>
    <t>Weld Repair</t>
  </si>
  <si>
    <t>over grinding has removed parent material - extensive rework required</t>
  </si>
  <si>
    <t>23-121</t>
  </si>
  <si>
    <t>Side Frames</t>
  </si>
  <si>
    <t>Tack weld grinding was leaving possible stress risers in V shape</t>
  </si>
  <si>
    <t>23-122</t>
  </si>
  <si>
    <t>58F5431150 Platform A., LH Deck</t>
  </si>
  <si>
    <t xml:space="preserve">2 X item 104 (58B6010680) are off located. </t>
  </si>
  <si>
    <t>23-123</t>
  </si>
  <si>
    <t>58B5405045 Platform A., RH Deck</t>
  </si>
  <si>
    <t>Weld/ Shipping</t>
  </si>
  <si>
    <t>Dent was found in EG9326 tube at left side of deck.</t>
  </si>
  <si>
    <t>23-124</t>
  </si>
  <si>
    <t>Sub-components not to print (58E5424850, 58E5422760, 58E5415701)</t>
  </si>
  <si>
    <t>24-001</t>
  </si>
  <si>
    <t>10854067-011 Plate Insep Assy</t>
  </si>
  <si>
    <t>FN4 - 10705422-001 is TACK ONLY, final weld to be completed by customer. Do not weld to print</t>
  </si>
  <si>
    <t>24-002</t>
  </si>
  <si>
    <t>58E8055490 Panel A, Upper Assembly</t>
  </si>
  <si>
    <t>PPAP part got rejected for berries and stuck wire</t>
  </si>
  <si>
    <t>24-003</t>
  </si>
  <si>
    <t>Off location defects. Need to ensure we use fixtures mentioned on WO</t>
  </si>
  <si>
    <t>24-004</t>
  </si>
  <si>
    <t>2 incorrect clips welded</t>
  </si>
  <si>
    <t>24-005</t>
  </si>
  <si>
    <t>58E8050642 Support A., Panto RH Str.</t>
  </si>
  <si>
    <t>Block with 2 holes is 20mm off location.</t>
  </si>
  <si>
    <t>24-006</t>
  </si>
  <si>
    <t>58E8050632 Support A., Panto LH Str.</t>
  </si>
  <si>
    <t>No paint under channel</t>
  </si>
  <si>
    <t>24-007</t>
  </si>
  <si>
    <t>58F5431050 Platform A., LH Deck Str</t>
  </si>
  <si>
    <t>2 pcs of 58F5408200 light brackets were found welded to deck upside down</t>
  </si>
  <si>
    <t>24-008</t>
  </si>
  <si>
    <t>58E8020031 Panel A., Lower Rear Assembly</t>
  </si>
  <si>
    <t>Weld / Paint</t>
  </si>
  <si>
    <t>Paint thin behind lifting eye &amp; and top bend. Berries on all inside corners’</t>
  </si>
  <si>
    <t>24-009</t>
  </si>
  <si>
    <t>585409782 ROPS Tube</t>
  </si>
  <si>
    <t>Seam weld on the long surface of tube( from supplier)</t>
  </si>
  <si>
    <t>24-010</t>
  </si>
  <si>
    <t>Axle Housings - TX8110 Sleeves</t>
  </si>
  <si>
    <t>Bore U/S</t>
  </si>
  <si>
    <t>Blast Prep</t>
  </si>
  <si>
    <t>24-010/24-003</t>
  </si>
  <si>
    <t>Customer found pin would not pass through at assembly and sleeve was not flush within 1.5 mm</t>
  </si>
  <si>
    <t>24-011</t>
  </si>
  <si>
    <t>EL0851</t>
  </si>
  <si>
    <t>NCR 24-008</t>
  </si>
  <si>
    <t>Distance between hole centers is not to print. Reference previous Change Alert 23-093</t>
  </si>
  <si>
    <t>24-012</t>
  </si>
  <si>
    <t>10784135 Cover Insep Assy</t>
  </si>
  <si>
    <t>CAR 23-280, 24-011</t>
  </si>
  <si>
    <t>Supplied component is missing threads or welded upside down</t>
  </si>
  <si>
    <t>24-013</t>
  </si>
  <si>
    <t>missing 2 blocks</t>
  </si>
  <si>
    <t>Blank</t>
  </si>
  <si>
    <t>24-014</t>
  </si>
  <si>
    <t>Bar too short</t>
  </si>
  <si>
    <t>24-015</t>
  </si>
  <si>
    <t xml:space="preserve">58C5400091 Platform A., RH Str </t>
  </si>
  <si>
    <t>During assembly at G&amp;D deck was lifted from transport stand and dent was found with peeling paint. Damage found where deck rests on white plastic pad portion of stand. Two smaller dents are present that have been re painted.</t>
  </si>
  <si>
    <t>24-016</t>
  </si>
  <si>
    <t>58E8054750 Support A., Hanging Str</t>
  </si>
  <si>
    <t>PPAP part. Lack of fusion location E1 and E4 and lack of fusion loc I1 and I4 and berries B15</t>
  </si>
  <si>
    <t>24-017</t>
  </si>
  <si>
    <t>EL1238, Cabinet</t>
  </si>
  <si>
    <t>PPAP part. Paint in threads on blocks on both ends weld inside top left door jam paint on back top</t>
  </si>
  <si>
    <t>24-018</t>
  </si>
  <si>
    <t>ECN 24-003</t>
  </si>
  <si>
    <t>Increased weld length to allow for full clean up at machining</t>
  </si>
  <si>
    <t>24-019</t>
  </si>
  <si>
    <t>24-023/24-024</t>
  </si>
  <si>
    <t>Missing 58E2200770 Hook and excess weld material inside TY1334 Tube (Weld Cell 210)</t>
  </si>
  <si>
    <t>24-020</t>
  </si>
  <si>
    <t>58B8000780 Plate A., RH;
EL5745 Support Str Plenum</t>
  </si>
  <si>
    <t>897242; 897244</t>
  </si>
  <si>
    <t>During rcvg process at G&amp;D parts were found with scratched paint. Parts were packaged on pallet with no protection between 2 pcs of EL5745 and 1 pc of 58B8000780 causing paint damage to all 3 parts.</t>
  </si>
  <si>
    <t>24-021</t>
  </si>
  <si>
    <t xml:space="preserve">58E0618004 </t>
  </si>
  <si>
    <t>2 pcs found on G&amp;D rcvg dock with paint damage. 1 pc is banded to pallet overhanging by approx 3 inches sitting partially on neighbor pallet caused parts to rub in transit to G&amp;D. Paint damage to both pcs at top edges, parts will need paint rework prior to RTS.</t>
  </si>
  <si>
    <t>24-022</t>
  </si>
  <si>
    <t>58F0606630 Control Box</t>
  </si>
  <si>
    <t>Inside top front&amp; back has Lack of fusion. pinehole in weld inside left front Berries all over. Paint inside ovel holes and runn next to door</t>
  </si>
  <si>
    <t>24-023</t>
  </si>
  <si>
    <t>CAR 24-028</t>
  </si>
  <si>
    <t>24-024</t>
  </si>
  <si>
    <t xml:space="preserve">58F0250571 Muffler A., Exhaust </t>
  </si>
  <si>
    <t>Exhaust arrived at PMO with welds on end ground down too much, removing all weld from part.</t>
  </si>
  <si>
    <t>24-025</t>
  </si>
  <si>
    <t>Flattening</t>
  </si>
  <si>
    <t>components are being damaged/distorted during flattening process</t>
  </si>
  <si>
    <t>24-026</t>
  </si>
  <si>
    <t>58F5431051 Platform Deck LH Str</t>
  </si>
  <si>
    <t>Customer rejected PPAP part for Berries all over, overlap, Lack of fusion,Base metal</t>
  </si>
  <si>
    <t>24-027</t>
  </si>
  <si>
    <t>58F5431041 Platform Deck RH Str</t>
  </si>
  <si>
    <t>Customer rejected PPAP part for no missing paint and light paint issues</t>
  </si>
  <si>
    <t>24-028</t>
  </si>
  <si>
    <t>All painted Parts</t>
  </si>
  <si>
    <t>Wrong primer was used on some parts</t>
  </si>
  <si>
    <t>24-029</t>
  </si>
  <si>
    <t>weld from new employees need to be checked and signed off by Lead Hand/QA/Supervisor before it goes to next operation</t>
  </si>
  <si>
    <t>24-030</t>
  </si>
  <si>
    <t>Alignment</t>
  </si>
  <si>
    <t>Cross holes out of alignment. Presets not set, checking sleeve and shoulder bolt not used.</t>
  </si>
  <si>
    <t>24-031</t>
  </si>
  <si>
    <t>EM3494 fit and welded incorrectly PL.2. Missed during stud report, and FARO inspection.</t>
  </si>
  <si>
    <t>24-032</t>
  </si>
  <si>
    <t>Paint &amp; Quality</t>
  </si>
  <si>
    <t>pH meter work instruction updated</t>
  </si>
  <si>
    <t>24-033</t>
  </si>
  <si>
    <t>58E-54-53290 Center Deck, Platform arrived at PMO missing 01571-01016 10mm Seat</t>
  </si>
  <si>
    <t>24-034</t>
  </si>
  <si>
    <t>Midland Axles</t>
  </si>
  <si>
    <t>Material Handling/
Welding</t>
  </si>
  <si>
    <t>Customer supplied axles have been damaged recently by handling at Steelcraft.</t>
  </si>
  <si>
    <t>24-035</t>
  </si>
  <si>
    <t>58D5403880 bracket welded 14mm off of location 
on X830022112 Cab G</t>
  </si>
  <si>
    <t>24-036</t>
  </si>
  <si>
    <t>X830027783 Cab G., Purchased</t>
  </si>
  <si>
    <t>Cab recieved at PMO with large area of paint peeling on roof</t>
  </si>
  <si>
    <t>24-037</t>
  </si>
  <si>
    <t>All Axle Housings</t>
  </si>
  <si>
    <t>Materials/ Paint</t>
  </si>
  <si>
    <t>CAR 24-039</t>
  </si>
  <si>
    <t xml:space="preserve">Lack of Paint coverage and minimal Rust Preventative resulted in rust throughout Axle in less than 1 month since delivery. </t>
  </si>
  <si>
    <t>Lee</t>
  </si>
  <si>
    <t>24-038</t>
  </si>
  <si>
    <t>Wrong Part ID</t>
  </si>
  <si>
    <t>CAR 24-042</t>
  </si>
  <si>
    <t>Incorrect part number on welded ID tag</t>
  </si>
  <si>
    <t>24-039</t>
  </si>
  <si>
    <t>Damaged</t>
  </si>
  <si>
    <t>Blast/Paint</t>
  </si>
  <si>
    <t>CAR 24-043</t>
  </si>
  <si>
    <t>Damaged component and Paint on Grounding pad.</t>
  </si>
  <si>
    <t>24-040</t>
  </si>
  <si>
    <t>Use of paint reducer / thiner vs  flash off reducer</t>
  </si>
  <si>
    <t>24-041</t>
  </si>
  <si>
    <t>All PPAP parts to be sent to Grinding for spatter removal before washing</t>
  </si>
  <si>
    <t>24-042</t>
  </si>
  <si>
    <t>Top coat paint dry film thickness</t>
  </si>
  <si>
    <t>24-043</t>
  </si>
  <si>
    <t>Cab doors, Cabinet and Control box doors</t>
  </si>
  <si>
    <t>Door edges not being painted enough</t>
  </si>
  <si>
    <t>24-044</t>
  </si>
  <si>
    <t>Ko</t>
  </si>
  <si>
    <t>58F8000620 Grille Structure</t>
  </si>
  <si>
    <t>Bolts was lose in carrier and paint came off and a scrach</t>
  </si>
  <si>
    <t>24-045</t>
  </si>
  <si>
    <r>
      <rPr>
        <strike/>
        <sz val="11"/>
        <color theme="1"/>
        <rFont val="Calibri"/>
        <family val="2"/>
        <scheme val="minor"/>
      </rPr>
      <t>2024-03-19</t>
    </r>
    <r>
      <rPr>
        <sz val="11"/>
        <color theme="1"/>
        <rFont val="Calibri"/>
        <family val="2"/>
        <scheme val="minor"/>
      </rPr>
      <t xml:space="preserve"> Delayed</t>
    </r>
  </si>
  <si>
    <t>Sub Arc Welding Process Review</t>
  </si>
  <si>
    <t>CAR/5 Why 24-066</t>
  </si>
  <si>
    <t>Clarity on SUB ARC welding process for Axles</t>
  </si>
  <si>
    <t>Lee - process update not in place yet</t>
  </si>
  <si>
    <t>24-046</t>
  </si>
  <si>
    <t>Back to back PPAP rejections on spatter and other weld issues</t>
  </si>
  <si>
    <t>24-047</t>
  </si>
  <si>
    <t>58D2280002 Axle Housing</t>
  </si>
  <si>
    <t>CAR 24-077</t>
  </si>
  <si>
    <t>2 studs off location</t>
  </si>
  <si>
    <t>24-048</t>
  </si>
  <si>
    <t>Component Out of round</t>
  </si>
  <si>
    <t>CAR 24-043/24-052</t>
  </si>
  <si>
    <t>damaged fittings found at Komatsu on multiple Axles</t>
  </si>
  <si>
    <t>24-049</t>
  </si>
  <si>
    <t>EMD/Progress Rail</t>
  </si>
  <si>
    <t xml:space="preserve">9555785 Spider </t>
  </si>
  <si>
    <t>SPAP feedback</t>
  </si>
  <si>
    <t>Needs to be ground flush on ring, root pass on ring back gouged - then LPI before finishing from other side</t>
  </si>
  <si>
    <t>24-050</t>
  </si>
  <si>
    <t>EK1586 Tube</t>
  </si>
  <si>
    <t>Tube structure has areas that have poor weld quality, porosity and undercut</t>
  </si>
  <si>
    <t>24-051</t>
  </si>
  <si>
    <t>58F4600541  Upright A., LH Str</t>
  </si>
  <si>
    <t>Sheet metal installed out of square, not allowing for fit-up of the upper upright structure</t>
  </si>
  <si>
    <t>24-052</t>
  </si>
  <si>
    <t>24-053</t>
  </si>
  <si>
    <t>SP-073 and SP-3132 Chassis</t>
  </si>
  <si>
    <t>CAR 24-090</t>
  </si>
  <si>
    <t xml:space="preserve">incorrect material for square tubes SP-133 Rev-C &amp; SP-134 Rev-A. </t>
  </si>
  <si>
    <t>24-054</t>
  </si>
  <si>
    <t>John Deere</t>
  </si>
  <si>
    <t>AXE102799 Axle 45' Rear</t>
  </si>
  <si>
    <t>Weld spatter inside the hole</t>
  </si>
  <si>
    <t>24-055</t>
  </si>
  <si>
    <t xml:space="preserve">58F5454400 CAB A., BRAKE CABI. INT </t>
  </si>
  <si>
    <t>TY9703 angle welded off location on brake cabinet should measure 160mm down from top of cabinet. Actual measurement is approx. 148mm</t>
  </si>
  <si>
    <t>24-056</t>
  </si>
  <si>
    <t>58F5454401 Cab A., Brake Cabinet</t>
  </si>
  <si>
    <t>Brake cabinet recieved at PMO missing 1-XC2504 light bracket &amp; 1- 58E0605680 and 2 X H8402 pipe plugs</t>
  </si>
  <si>
    <t>24-057</t>
  </si>
  <si>
    <t>Liberty Electronics</t>
  </si>
  <si>
    <t>58E0618004 &amp;58E0612112 cabinets</t>
  </si>
  <si>
    <t>Recurring weld and assembly customer issues</t>
  </si>
  <si>
    <t>24-058</t>
  </si>
  <si>
    <t>24-059</t>
  </si>
  <si>
    <t xml:space="preserve">X830027783 CAB G., PURCHASED </t>
  </si>
  <si>
    <t>There is moisture in between the paynes of the windshield glass</t>
  </si>
  <si>
    <t>24-060</t>
  </si>
  <si>
    <t>CAR 24-097</t>
  </si>
  <si>
    <t>Plug fittings to be installed at 175B as thread protection until final</t>
  </si>
  <si>
    <t>24-061</t>
  </si>
  <si>
    <t>Couplings on Axles</t>
  </si>
  <si>
    <t>Visually inspect couplings before installing.  
Some have been found "out of round" as supplied.</t>
  </si>
  <si>
    <t>24-062</t>
  </si>
  <si>
    <t>X830027783 Cab G.</t>
  </si>
  <si>
    <t>Missing a 58E5423730 Bar tie in the front of the cab next to where the orbital valve is mounted</t>
  </si>
  <si>
    <t>24-063</t>
  </si>
  <si>
    <t>58F5452850 Center Deck</t>
  </si>
  <si>
    <t>PPAP part. Weld call out on print is 12mm with +1.5 tolerance. Part is over 14mm. Location on print is B 36 &amp; M 64</t>
  </si>
  <si>
    <t>24-064</t>
  </si>
  <si>
    <t>Axles Front &amp; Rear</t>
  </si>
  <si>
    <t>Paint on machined faces</t>
  </si>
  <si>
    <t>24-065</t>
  </si>
  <si>
    <t>EK4384 MOUNTING STR POWER CABLES</t>
  </si>
  <si>
    <t>Damaged threads not allowing cord grips to thread in properly.</t>
  </si>
  <si>
    <t>24-066</t>
  </si>
  <si>
    <t>58F5431150 PLATFORM A., LH DECK STR.</t>
  </si>
  <si>
    <t>Paint damage caused by the garage door</t>
  </si>
  <si>
    <t>24-067</t>
  </si>
  <si>
    <t>24-068</t>
  </si>
  <si>
    <t>Toboggans  10707407-001</t>
  </si>
  <si>
    <t>CAR 24-094</t>
  </si>
  <si>
    <t>poor fit at customer, parts needed to be flattened before shipping</t>
  </si>
  <si>
    <t>Cynthia to finish</t>
  </si>
  <si>
    <t>24-069</t>
  </si>
  <si>
    <t>Strut Plate LS1105432
See Alert 24-073</t>
  </si>
  <si>
    <t>CAR 24-123</t>
  </si>
  <si>
    <t>could not assemble at customer - step/burr at one edge</t>
  </si>
  <si>
    <t>24-070</t>
  </si>
  <si>
    <t>The item #6 58E5418900 Seat, is welded off location. The 98mm dim is not kept. It measures 0mm causing the control cabinet to sit on top of it</t>
  </si>
  <si>
    <t>24-071</t>
  </si>
  <si>
    <t>Deck was found with one wrong stud welded for harness routing. Print lists stud should be MM0067 @ 50mm long, actual stud is MM0079 @ 70mm long.</t>
  </si>
  <si>
    <t>24-072</t>
  </si>
  <si>
    <t>58E2200234 / 58D2280002 / 58B2200812 Axle Housing</t>
  </si>
  <si>
    <t>Missing Punch Marks</t>
  </si>
  <si>
    <t>CAR 24-129 to CAR 24-134</t>
  </si>
  <si>
    <t>Axle found at G&amp;D asembly staging area with punch marks inside axle, per print punch marks should be on outside of axle so can be seen during wheel motor install.</t>
  </si>
  <si>
    <t>24-073</t>
  </si>
  <si>
    <t>LS1105437</t>
  </si>
  <si>
    <t>Machine</t>
  </si>
  <si>
    <t>NC790135</t>
  </si>
  <si>
    <t>Ø99.62 bore undersized measuring 98.90, visible burr inside, on top cap LS1105432</t>
  </si>
  <si>
    <t>Kirby Issued</t>
  </si>
  <si>
    <t>24-074</t>
  </si>
  <si>
    <t>58F5403810 drive shaft cover mounting holes are not lining up with pump mount part does not hold dimensional spec12.75in center to center  hole actual measurement is 12.5in</t>
  </si>
  <si>
    <t>24-075</t>
  </si>
  <si>
    <t xml:space="preserve">58D5402800 PLATFORM A., RH DECK </t>
  </si>
  <si>
    <t>Deck was found missing 1 pc of MM0648 weld stud for harness routing.</t>
  </si>
  <si>
    <t>24-076</t>
  </si>
  <si>
    <t>58B4602140 Duct A, Transition</t>
  </si>
  <si>
    <t>4 pcs checked and lack of fusion, profile, berries, undercut, size</t>
  </si>
  <si>
    <t>24-077</t>
  </si>
  <si>
    <t>58D5480362 Grille, Str</t>
  </si>
  <si>
    <t>The Grille str was recieved at PMO with the wrong Sheet Bent welded. Welded XB6038 instead of 58D5420740</t>
  </si>
  <si>
    <t>24-078</t>
  </si>
  <si>
    <t>58D5405000 Platfrom LH Deck</t>
  </si>
  <si>
    <t>Lift eye hole off of location</t>
  </si>
  <si>
    <t>24-079</t>
  </si>
  <si>
    <t>58E4600711 Tube Str.</t>
  </si>
  <si>
    <t>Poor weld quality, porosity</t>
  </si>
  <si>
    <t>24-080</t>
  </si>
  <si>
    <t>58B4600910 Upright A., RH Str</t>
  </si>
  <si>
    <t>Customer found the part with Weld nut MM 0576 off location, not centered to hole on angle 58B4600920.</t>
  </si>
  <si>
    <t>24-081</t>
  </si>
  <si>
    <t>58F5452850 Platform, Center Deck</t>
  </si>
  <si>
    <t>Customer found the 58F5409600 Bracket A., Str missing  2 x Seats (01571-01016).</t>
  </si>
  <si>
    <t>24-082</t>
  </si>
  <si>
    <t>EH9246 Clamp Str.</t>
  </si>
  <si>
    <t>Part got rejected for weld issues. 4mm fillet has lack of fusion and the 4mm weld is small overlap around the nuts.</t>
  </si>
  <si>
    <t>24-083</t>
  </si>
  <si>
    <t>CAR 24-160</t>
  </si>
  <si>
    <t>Customer found bracket EH8613 to be bent backwards.</t>
  </si>
  <si>
    <t>Sibin</t>
  </si>
  <si>
    <t>24-084</t>
  </si>
  <si>
    <t>U/S Hole</t>
  </si>
  <si>
    <t>CAR 24-174</t>
  </si>
  <si>
    <t xml:space="preserve">Customer found diameter of small holes in EF0782 oversized to the point it opened into the adjacent larger hole.  </t>
  </si>
  <si>
    <t>Cynthia</t>
  </si>
  <si>
    <t>Ensure 5 mm Holes are correct size, and don't interfere with 35 mm hole.</t>
  </si>
  <si>
    <t>Nate</t>
  </si>
  <si>
    <t>24-085</t>
  </si>
  <si>
    <t>58F6000880 Angle Str</t>
  </si>
  <si>
    <t>CAR 24-171</t>
  </si>
  <si>
    <t>Part was found with wrong threads in WA5461 plate weld. 
Print lists 1/2-13 threads, actual threads are 7/16-14. 
Weld base has ref dimension of 150mm, actual measurement is 140mm. 58F6000880 print dimension of 20.4mm actually measures approx 29mm, print dimension of 33.1mm actually measures approx 35mm.</t>
  </si>
  <si>
    <t>Ioan</t>
  </si>
  <si>
    <t>1. If using 150mm plate, weld at 33.1mm from the edge.
2. If using 140mm plate, weld at 38.1mm from the edge.
The distance to the center of the hole will be the same.</t>
  </si>
  <si>
    <t>24-086</t>
  </si>
  <si>
    <t xml:space="preserve">58E2200133 AXLE HOUSING  
XB1094 sub component  </t>
  </si>
  <si>
    <t>CAR 24-180</t>
  </si>
  <si>
    <t>XB1094 bracket mounting was found to
       be bent backwards. 2 holes for back up light bracket are
       on left side of bracket, should be on right side of axle.</t>
  </si>
  <si>
    <t xml:space="preserve">Ensure correct orientation of holes, and let Engineering know if further clarification is needed on print or template. </t>
  </si>
  <si>
    <t>24-087</t>
  </si>
  <si>
    <t>Liberty</t>
  </si>
  <si>
    <t>58B0612112 Control Box, Aux Weld</t>
  </si>
  <si>
    <t>CAR 24-182</t>
  </si>
  <si>
    <t xml:space="preserve">1) 3 out of 4 ground blocks were not tapped off which has left paint that will need ground off. 2) Some tape marks either took some paint off or they weren’t touched up? 3) Pin hole on an outside surface. This one will hold water and Komatsu has stressed to us that it is not allowed. 4) Not sure if this is over spray. It is very rough to the touch. 5) On this one the door and latch are interfering with each other. There is already a decent amount of paint that has come off.  </t>
  </si>
  <si>
    <t>Visually inspect all Control Boxes for Paint defects and Weld defects, on outside and inside surfaces.</t>
  </si>
  <si>
    <t>24-088</t>
  </si>
  <si>
    <t>CAR 24-181</t>
  </si>
  <si>
    <t>58F0250571 muffler outlets do hold dimension called out on print, should measure 254.4mm measured at 250mm</t>
  </si>
  <si>
    <t>100% Inspection for dim#  254.4 on all mufflers.
Verify the diameter in horizontal and verical manner.</t>
  </si>
  <si>
    <t>24-089</t>
  </si>
  <si>
    <t>There is a missing item #1: 01571-01016 seat.</t>
  </si>
  <si>
    <t>Ensure all required components are welded as per print</t>
  </si>
  <si>
    <t>24-090</t>
  </si>
  <si>
    <t>58B5463951 Grille Str RH</t>
  </si>
  <si>
    <t>PPAP part. Lack of fusion, Weld missing .Most is in detail P</t>
  </si>
  <si>
    <t>Welders to make sure all the welds are present and properly executed.                  Weld inspectors to ensure all welds are present and conforming.</t>
  </si>
  <si>
    <t>24-091</t>
  </si>
  <si>
    <t>Final assembly</t>
  </si>
  <si>
    <t>Left door came in damaged with small dents to the outside and inside of door.</t>
  </si>
  <si>
    <t>Visually inspect all Control Boxes for damage, on outside and inside surfaces.</t>
  </si>
  <si>
    <t>24-092</t>
  </si>
  <si>
    <t>CAR 24-191</t>
  </si>
  <si>
    <t>Part 58E4620090 is bowed in the front tread area not allowing the rear of the step support to come in contact with the top of the rail for correct fit</t>
  </si>
  <si>
    <t>Check the Step Str using a Square for Straightness</t>
  </si>
  <si>
    <t>24-093</t>
  </si>
  <si>
    <t>58E8054200, 58E8054210, 58E8054120 Perforated Sheet</t>
  </si>
  <si>
    <t>CAR 24-192; 24-193; 24-194</t>
  </si>
  <si>
    <t>PPAP part. Per print rev 01, holes should be 11.00 ±.25. Holes pin with 0.480"(12.20mm) pin.</t>
  </si>
  <si>
    <t>Use the latest print revision when drilling the holes. Holes' diameter was changed from Ø12.00mm to Ø11.00mm</t>
  </si>
  <si>
    <t>24-094</t>
  </si>
  <si>
    <t>Stratford-QA</t>
  </si>
  <si>
    <t>LS1082803 REV D</t>
  </si>
  <si>
    <t>NCR 24-369 /24-370/24-371</t>
  </si>
  <si>
    <t>LS1082787- Filler Neck goes with part but wrong filler neck welded. Length of the filler neck suppose to be 123.8</t>
  </si>
  <si>
    <t>Keneel</t>
  </si>
  <si>
    <t>Verify the part# before using it. Measure the the length of filler neck before signing it off while part is in tacked condition.</t>
  </si>
  <si>
    <t>July 30-2024</t>
  </si>
  <si>
    <t>24-095</t>
  </si>
  <si>
    <t>X830027784 Cab G</t>
  </si>
  <si>
    <t>PPAP part. Part 58E5441732 cover HVAC was bent wrong on 1 fin. A nut came off in center pan by driver seat. Paint thin in back and runs inside of cab. Berries all over,Weld profiletop and bottom outside,undercut pinholes,overlap,base metal LF</t>
  </si>
  <si>
    <t>Sibin Siva</t>
  </si>
  <si>
    <t>Supervisors/ Lead hands please review these defect pictures with all welders and painters. Make sure QC 4.5 and paint specs are strictly followed on a PPAP part</t>
  </si>
  <si>
    <t>24-096</t>
  </si>
  <si>
    <t>58E5452740</t>
  </si>
  <si>
    <t>24-216</t>
  </si>
  <si>
    <t>Missing 1 pc of EK7293 tapped pad for handrail mounting</t>
  </si>
  <si>
    <t>Chris</t>
  </si>
  <si>
    <t>24-097</t>
  </si>
  <si>
    <t>58C5414000</t>
  </si>
  <si>
    <t>24-217</t>
  </si>
  <si>
    <t>PPAP part. Paint  thin and has runs,Item 27and 29 has base metal on both sides on weld,undercut,berries weld blew through and pin holes</t>
  </si>
  <si>
    <t>24-098</t>
  </si>
  <si>
    <t>24-219</t>
  </si>
  <si>
    <t>Multiple studoffs not welded on the bottom side of the cab . They are just tacked.</t>
  </si>
  <si>
    <t>24-099</t>
  </si>
  <si>
    <t>24-232</t>
  </si>
  <si>
    <t>Axle was found missing 2 pcs of TX8110 sleeves for anti sway bar &amp; missing 4 pcs of 58B5000540 sleeves for lower rear suspension. Bar was found welded to EL8773 that is not on print.</t>
  </si>
  <si>
    <t>24-100</t>
  </si>
  <si>
    <t>58F2200054 Axle</t>
  </si>
  <si>
    <t>21-235</t>
  </si>
  <si>
    <t>Axle was found missing 1 pc of 58E2200770 hook for service light inside axle</t>
  </si>
  <si>
    <t>24-102</t>
  </si>
  <si>
    <t>24-252</t>
  </si>
  <si>
    <t>Downhand broken weld. Safety issue</t>
  </si>
  <si>
    <t>24-101</t>
  </si>
  <si>
    <t>Implemane Management at final weldprior shiping to machining</t>
  </si>
  <si>
    <t>24-103</t>
  </si>
  <si>
    <t>Poor Workmanship</t>
  </si>
  <si>
    <t>CAR 24-197</t>
  </si>
  <si>
    <t>Threading issue with M10 threaded hole on vertical rail LS1131745. Holes should meet the print specification- M10 x 1.5 -6H</t>
  </si>
  <si>
    <t xml:space="preserve">100% Inspection for M10 x 1.5- 6H holes on all sideframe at Machine shop and QA.
</t>
  </si>
  <si>
    <t>Nov 08-2024</t>
  </si>
  <si>
    <t>24-104</t>
  </si>
  <si>
    <t>CAR 24-258</t>
  </si>
  <si>
    <t>58B4600910 came in with very poor weld quality and was stamped incorrect. STAMPED 58F4600910 instead of 58B4600910.  Welds contain tie-ins not complete, pin holes, lack of fussion and some poor weld profiles.</t>
  </si>
  <si>
    <t>100% Inspection by welder and inspector before shipiing.</t>
  </si>
  <si>
    <t>24-105</t>
  </si>
  <si>
    <t>58B4601600 Upright A, LH STR</t>
  </si>
  <si>
    <t>CAR 24-259</t>
  </si>
  <si>
    <t>Upright is missing 3 x EH9392 and 1 x 58B4601280.</t>
  </si>
  <si>
    <t>Fill out the visula inspection sheet for all uprights.</t>
  </si>
  <si>
    <t>24-106</t>
  </si>
  <si>
    <t xml:space="preserve">58B0207300 TANK A., DEF W/COVERS </t>
  </si>
  <si>
    <t>Welder's Error</t>
  </si>
  <si>
    <t>CAR  24-261</t>
  </si>
  <si>
    <t>THE 58B0203030 SHEET A. REAR AND THE 58B0203010 SHEET A. FRONT WHERE WELDED ON TANK BACKWARDS</t>
  </si>
  <si>
    <t>24-107</t>
  </si>
  <si>
    <t>In-house</t>
  </si>
  <si>
    <t>All jobs</t>
  </si>
  <si>
    <t>Welding</t>
  </si>
  <si>
    <t>CAR 24-263</t>
  </si>
  <si>
    <t>High winds are blowing the shielding gas away from the puddle which is causing the porosity in the weld.</t>
  </si>
  <si>
    <t>24-108</t>
  </si>
  <si>
    <t>LS1131807 Tube</t>
  </si>
  <si>
    <t>Dimension Out Of Tolerance</t>
  </si>
  <si>
    <t>Dim 10.4 +/-0.7mm found 13.6 O/S. We use this part in side frames- LS1131717 , LS1137346, XS1147570. 8 parts got affected due to issue with subcomponent.</t>
  </si>
  <si>
    <t>100% Inspection by Machine Operator and QA before shiping the top level part.</t>
  </si>
  <si>
    <t>24-109</t>
  </si>
  <si>
    <t>X830027783 Cab G</t>
  </si>
  <si>
    <t>CAR 24-264</t>
  </si>
  <si>
    <t>MM0079 Cap Screws are not fully welded on the bottom of cab, they are just tacked. This is a 2nd time occurrence</t>
  </si>
  <si>
    <t>Operators: Make sure all tacked studs and nuts are welded properly.
QA's: All studs at the bottom of cab must be 100% inspected to make sure it got welded properly.</t>
  </si>
  <si>
    <t>24-110</t>
  </si>
  <si>
    <t>LS1131717, LS1137346 Side Frame</t>
  </si>
  <si>
    <t>Weld / Blast</t>
  </si>
  <si>
    <t>M10 holes threading issue. Holes would not accept M10 x 1.5- 6H Thread gage. Mating part failed to assemble.</t>
  </si>
  <si>
    <t>Use Mating bolts or plastic plugs to protect against shot and spatter (Bolts wherever possible). Welders to remove after weld. Also ensure spatter shields are used.</t>
  </si>
  <si>
    <t>24-111</t>
  </si>
  <si>
    <t>58B4604021 Upright A., LH STR</t>
  </si>
  <si>
    <t>CAR 24-267</t>
  </si>
  <si>
    <t>Item 58B4604021 came in not built to print. Item 58B4604640 tube is set 23.4mm off location. This wont allow for correct frame set-up. Return one part 58B4604021 and rework on it.</t>
  </si>
  <si>
    <t xml:space="preserve">100% Inspect the part before sign off by welder. </t>
  </si>
  <si>
    <t>24-112</t>
  </si>
  <si>
    <t>58B5421831 Control Box A., AHT Str.</t>
  </si>
  <si>
    <t>Missing component</t>
  </si>
  <si>
    <t>CAR 24-268</t>
  </si>
  <si>
    <t>Missing stud from bottom right inside of enclosure.</t>
  </si>
  <si>
    <t xml:space="preserve">Operators: Make sure this stud is welded and put your initials on the print once its welded
QA's: Make sure this stud is present and the operator puts their initials on the print. </t>
  </si>
  <si>
    <t>24-113</t>
  </si>
  <si>
    <t>58C2200800 Housing, STR Axle</t>
  </si>
  <si>
    <t>Dimensions are out of tolerance</t>
  </si>
  <si>
    <t>CAR 24-269</t>
  </si>
  <si>
    <t>During assembly at G&amp;D hatch door was found not centered in axle opening. EM3492 &amp; EM3493 ears possibly welded too low  and to the left.</t>
  </si>
  <si>
    <t>Jatinder Singh</t>
  </si>
  <si>
    <t>Welders must use the fixture (242990-1A) to weld sub-components.</t>
  </si>
  <si>
    <t>24-114</t>
  </si>
  <si>
    <t xml:space="preserve">Cambridge </t>
  </si>
  <si>
    <t>CAR 24-270</t>
  </si>
  <si>
    <t>The ITEM #15 58C2200431 TUBE is not round the 58C0607870 clamp.one direction the hole measures  approx 195mm the other wa approx 200mm in diameter, the clamp will not fit.</t>
  </si>
  <si>
    <t>Sub-components must be dimensionally checked before to weld on the final part.</t>
  </si>
  <si>
    <t>24-115</t>
  </si>
  <si>
    <t>All Cabinets &amp; Control Boxes</t>
  </si>
  <si>
    <t>Water Leakage</t>
  </si>
  <si>
    <t>CAR 24-257</t>
  </si>
  <si>
    <t>Water gets inside of the panels during phosphate wash causing water leakage even after keeping it in oven for 48 hours</t>
  </si>
  <si>
    <t>Use sealant to prevent water intrusion. This  must be done on 3 sides(do not seal bottom) before  we put the insulation.
 Additional small drainage 5 holes can be added to drain water (see the deviation attached). This needs to be done after grind &amp; prior to wash.
Insert clips on open holes on cabinets as shown in the pictures
All cabinets MUST be checked using water leakage using the air gun at 2 phases,
1. After phosphate wash
2. After final paint prior to ship</t>
  </si>
  <si>
    <t>24-116</t>
  </si>
  <si>
    <t>58F2200054 Housing, STR Axle</t>
  </si>
  <si>
    <t>Mishandling and poor paint</t>
  </si>
  <si>
    <t>CAR 24-274</t>
  </si>
  <si>
    <t>During assembly at G&amp;D rear axle was found with damaged R6885 coupling on 58F0900050 bracket, fitting will not install due to coupling is out of round, appears to have been hit.White paint runs/poor paint coverage found inside axle @ many locations. ID&amp;T is missing REV level stamping.Paint found on 58E5418900 weld seat.</t>
  </si>
  <si>
    <t>Part must be moved with proper care from one station to another. Paint should be sprayed with appropriate technique. Try not to over spray.</t>
  </si>
  <si>
    <t>24-117</t>
  </si>
  <si>
    <t>Upside down welded</t>
  </si>
  <si>
    <t>CAR 24-278</t>
  </si>
  <si>
    <t xml:space="preserve">Taper wall of the Ear was not in the right direction. </t>
  </si>
  <si>
    <t xml:space="preserve">Taper wall of the ear should be towards manhole. </t>
  </si>
  <si>
    <t>24-118</t>
  </si>
  <si>
    <t>58F0350001 Grille</t>
  </si>
  <si>
    <t>Thin tow angle on welded studs and bolts.
Berries, undecut, parent metal grinded off</t>
  </si>
  <si>
    <t>CAR 24-276</t>
  </si>
  <si>
    <t>Low tow angle on welded studs and bolts.
Berries, undecut, parent metal grinded off, paint on threads</t>
  </si>
  <si>
    <t>Ensure all stud and nut are welded properly 
as per QC 4.5 
Make sure all threads are capped prior to paint</t>
  </si>
  <si>
    <t>24-119</t>
  </si>
  <si>
    <t>Ends were not wrap welded</t>
  </si>
  <si>
    <t>CAR 24-279</t>
  </si>
  <si>
    <t>Ends of suspensions were not welded all-around .</t>
  </si>
  <si>
    <t>Ends of suspension should be welded all-around</t>
  </si>
  <si>
    <t>24-120</t>
  </si>
  <si>
    <t xml:space="preserve">Mishandling </t>
  </si>
  <si>
    <t>CAR 24-280</t>
  </si>
  <si>
    <t xml:space="preserve">Coupling Pipe (Item no 37) is Damaged . Bent in the pipe is not allowing the elbow to be threaded into it. </t>
  </si>
  <si>
    <t>Part must be moved with proper care from one station to another.</t>
  </si>
  <si>
    <t>24-121</t>
  </si>
  <si>
    <t>EK1030</t>
  </si>
  <si>
    <t>CAR 24-281</t>
  </si>
  <si>
    <t xml:space="preserve"> Part was found with zinc coating  flaking off of part. </t>
  </si>
  <si>
    <t xml:space="preserve">Going forward all parts received from supplier must be 100% inspected for proper zinc coating </t>
  </si>
  <si>
    <t>24-122</t>
  </si>
  <si>
    <t>XC3362 Plate Bent Cover</t>
  </si>
  <si>
    <t xml:space="preserve">Not formed </t>
  </si>
  <si>
    <t>CAR24-284</t>
  </si>
  <si>
    <t>3 pcs were found in location flat, per print parts should have two bends. Part directly went to paint from receiving, skipped forming and Inspection operations.</t>
  </si>
  <si>
    <t>Part flow must be followed as per the work order. 
DO NOT process the part if prior operation is not completed.
QA's please verify the parts are made to print before issuing the green tag.</t>
  </si>
  <si>
    <t>24-123</t>
  </si>
  <si>
    <t>58F5452851 Platform Center Deck</t>
  </si>
  <si>
    <t>Weld/Paint defects</t>
  </si>
  <si>
    <t>CAR 24-283</t>
  </si>
  <si>
    <t>Customer found various issues with the PPAP part such as no paint, light paint,undercut,pinholes, oversized weld, tacks that are not removed.</t>
  </si>
  <si>
    <t>Welder's; All welds must meet customer spec 
as per QC 4.5 
Painter's: Hidden areas must be painted and checked as we have many recent rejections for the same reason</t>
  </si>
  <si>
    <t>24-124</t>
  </si>
  <si>
    <t>Kick Stand Welding on Axles</t>
  </si>
  <si>
    <t>Mixing of Kick stands</t>
  </si>
  <si>
    <t>CAR 24-284</t>
  </si>
  <si>
    <t xml:space="preserve">Wrong Kick Stand was welded on the Axle without verifying the measurements. </t>
  </si>
  <si>
    <t>Jatinder  Singh</t>
  </si>
  <si>
    <t xml:space="preserve">Check the bending length of the kick stand then verify with drawing then weld on the appropriate Axle.  </t>
  </si>
  <si>
    <t>24-125</t>
  </si>
  <si>
    <t>58F8049290 Bracket Str.</t>
  </si>
  <si>
    <t>Dimension undersized</t>
  </si>
  <si>
    <t>CAR 24-286</t>
  </si>
  <si>
    <t xml:space="preserve">58F8049300 Bracket was not hodling dime 118.0+2/-0. Customer found undersized measurements (116.5,117.62 etc).measurements at the top and bottom are not same
</t>
  </si>
  <si>
    <t>Target 119.0 +/-1.
Vernier must be used to measure this dimension. 
Bottom and top side width must be cheked to ensure the dimension is same.</t>
  </si>
  <si>
    <t>24-126</t>
  </si>
  <si>
    <t>58B5422835 Control Box</t>
  </si>
  <si>
    <t>mounting Holes Offset</t>
  </si>
  <si>
    <t>CAR 24-288</t>
  </si>
  <si>
    <t>Left side of inside enclosure ground bar mounting holes offset, cannot install screws. Also missing a bar from the left inside back wall.</t>
  </si>
  <si>
    <t>On all cabinets, Mating bolts MUST BE used. 
Each holes with nuts or threads must be checked with mating bolts to make sure it is centered and properly go all the way through.</t>
  </si>
  <si>
    <t>24-127</t>
  </si>
  <si>
    <t>58E5404775 Platform A., LH Deck Str</t>
  </si>
  <si>
    <t>shipping damage</t>
  </si>
  <si>
    <t>CAR24-287</t>
  </si>
  <si>
    <t>1 pc of MM0648 weld stud was found broken off and 1 pc of 58B8010250 bulkhead was found crushed. Deck either shifted in stand or deck was loaded into transport stand improperly</t>
  </si>
  <si>
    <t>Ensure that the part is banded or packaged safely in a way that it will not move or get damaged on the stand.
Please make sure we save photographs of parts prior to ship especially the bottom side where it sits on the stand and pictures after we load them on the truck</t>
  </si>
  <si>
    <t>24-128</t>
  </si>
  <si>
    <t>10842699-011, SIDE FRAME</t>
  </si>
  <si>
    <t>CN00803938</t>
  </si>
  <si>
    <t>Keepers(10705421) founud out of specification and location. In add, they were up side down.</t>
  </si>
  <si>
    <t>Apperantly, Fixture was not used during welding. Welder will make sure that WPare folowed and QA will do 100% inspection of it .</t>
  </si>
  <si>
    <t>24-129</t>
  </si>
  <si>
    <t>Missing Stud</t>
  </si>
  <si>
    <t>CAR 24-294</t>
  </si>
  <si>
    <t>Axle was found missing 1 pc of MM0648  weld stud for hose routing.</t>
  </si>
  <si>
    <t xml:space="preserve">Must perform Twyn inspection and stud inspection properly and check paper work before issue green tag. </t>
  </si>
  <si>
    <t>24-130</t>
  </si>
  <si>
    <t xml:space="preserve">58E2200133 AXLE HOUSING  
</t>
  </si>
  <si>
    <t>Missing Hook</t>
  </si>
  <si>
    <t>CAR 24-296</t>
  </si>
  <si>
    <t>Axle was found with missing 1 pc of 58E2200770 hook for portable light harness. Axle also found missing REV level stamp as part of ID&amp;T requirement.</t>
  </si>
  <si>
    <t>Must perform Twyn inspection and stud inspection properly and check paper work before issue green tag. Stud Layout report updated with hook added.</t>
  </si>
  <si>
    <t>24-131</t>
  </si>
  <si>
    <t>X830027783 Cab G.,</t>
  </si>
  <si>
    <t>Offlocation</t>
  </si>
  <si>
    <t>CAR 24-282, 
CAR 24-295</t>
  </si>
  <si>
    <t>2nd occurence. 58E-54-08846 Floor top LH is set in cab in a position, where it covers the nuts for the seat tether bolts.</t>
  </si>
  <si>
    <t>Allignment bolt/screw MUST be used  while welding the block. Put the block on top of the sheet and use allignment screws from bottom to locate the right position and ensure the threads go all the way through, then tack/weld.
While welding nuts to the holes on the sheet, ensure each nuts are centered properly to the holes.</t>
  </si>
  <si>
    <t>24-132</t>
  </si>
  <si>
    <t>Nuts welded in the wrong location</t>
  </si>
  <si>
    <t>CAR 24-297</t>
  </si>
  <si>
    <t>Nuts welded on the right side of the enclosure, when the nuts should be in between the 2 inner walls instead. Also a hole on side door top right and left side.</t>
  </si>
  <si>
    <t>Always refer the print before and after weld to ensure its weldede properly in the right location. If there is any confusion regarding the orientation, please talk to the supervisor/QA before you proceed. 
Refer QC 4.5 to see the customer spec.</t>
  </si>
  <si>
    <t>24-133</t>
  </si>
  <si>
    <t>X830030672 Cab G</t>
  </si>
  <si>
    <t>Weld and Paint issues</t>
  </si>
  <si>
    <t>CAR 24-293</t>
  </si>
  <si>
    <t>PPAP part. Holes were not covered, Copper boss has paint on it boss is on the inside. Under cut along top. Crater need filled on back. Pinholes on the back top weld and left door.Paint thin on door handle. Welds have overlap,berries and lack of fusion</t>
  </si>
  <si>
    <t>It’s the Welders responsibility to make sure all the welds are free of  defects and meet customer spec (QC 4.5). Extra attention must be given to all PPAP parts as the customer will go through all areas including hidden surfaces.
On all PPAP parts, Lead Hands/ Supervisor  must  do random checks to ensure all welds are present and conforming.
QA must verify all welds to ensure it meets customer spec.</t>
  </si>
  <si>
    <t>24-134</t>
  </si>
  <si>
    <t>58F2200054</t>
  </si>
  <si>
    <t>CAR 24-301</t>
  </si>
  <si>
    <t>Axle was found with 1 pc of DB2161 tapped pad welded off location, not centered in hole. Axle is also missing REV level stamp.</t>
  </si>
  <si>
    <t>Alignment bolt should be used to line up both holes during tack welding process. Stamps should be verified.</t>
  </si>
  <si>
    <t>24-135</t>
  </si>
  <si>
    <t>Komatsu/Internal</t>
  </si>
  <si>
    <t>Whole Plant ( All Parts )</t>
  </si>
  <si>
    <t>Car 24-302</t>
  </si>
  <si>
    <t xml:space="preserve">Tapped blocks , Pads, Sheets and Nuts were welded off location on the holes. </t>
  </si>
  <si>
    <t>Alignment bolt should be used to line up both holes during tack welding process.</t>
  </si>
  <si>
    <t>24-136</t>
  </si>
  <si>
    <t>Flatness</t>
  </si>
  <si>
    <t>CAR 24-298</t>
  </si>
  <si>
    <t>Customer found the cab wall is warped. Cab wall adjacent to the door is warped</t>
  </si>
  <si>
    <t>Flatness must be checked using Straight Edge at 3 stages
1. Before we weld, at counter boring
2. After the welding cools off
3. After final weld, before it leave for grind/wash</t>
  </si>
  <si>
    <t>24-137</t>
  </si>
  <si>
    <t>CAR 24-309</t>
  </si>
  <si>
    <t>Item 9 EG1796 block was welded on with holes facing up instead of out towards inside of case. Wrong orientation</t>
  </si>
  <si>
    <t xml:space="preserve">Holes should be facing towards the inside of barrel and stud report has been updated with this issue. </t>
  </si>
  <si>
    <t>24-138</t>
  </si>
  <si>
    <t xml:space="preserve">Off location </t>
  </si>
  <si>
    <t>CAR 24-302</t>
  </si>
  <si>
    <t>Dimension 43mm is off. Customer found 12 cabinets that measures 47mm</t>
  </si>
  <si>
    <t>QA's/ Lead Hands: All 58B0612112 cabinets must be 100% inspected for Dim 43.0 +/- 1.5 when we receive it from Baumeier. This should be done before wash</t>
  </si>
  <si>
    <t>24-139</t>
  </si>
  <si>
    <t>58E2200133 Axle Housing</t>
  </si>
  <si>
    <t>Off Location</t>
  </si>
  <si>
    <t>CAR 24-310</t>
  </si>
  <si>
    <t>One pc of EG7814 welded to axle off location and  58E0211570 cover was found not fitting on axle at 3 pcs of EG7814 tapped pads</t>
  </si>
  <si>
    <t xml:space="preserve">EG7814 Tapped blocks should be align first with cover 58E0211570 then welded fully. Dimension 30 mm should be maintained. </t>
  </si>
  <si>
    <t>24-140</t>
  </si>
  <si>
    <t xml:space="preserve">ED5080 Tube </t>
  </si>
  <si>
    <t>CAR 24-311</t>
  </si>
  <si>
    <t>EB9969 Block are offlocated.</t>
  </si>
  <si>
    <t>Template must be used for welding these blocks.</t>
  </si>
  <si>
    <t>24-141</t>
  </si>
  <si>
    <t>CAR 24-312</t>
  </si>
  <si>
    <t xml:space="preserve">Deck has dent on front. Looks like this damage occurred at forming </t>
  </si>
  <si>
    <t>Prior to welding, ensure all formed and cut plates are wthin spec and are free of damage.</t>
  </si>
  <si>
    <t>24-142</t>
  </si>
  <si>
    <t>58F2201300 Axle Hosuing STR</t>
  </si>
  <si>
    <t>CAR 24-314</t>
  </si>
  <si>
    <t>During assembly at G&amp;D 1 pc of MM0648 was found missing from 58F2201040 bracket for hose routing. ID&amp;T found missing supplier code.</t>
  </si>
  <si>
    <t xml:space="preserve">Twyn inspection and stud report inspection must be performed before to paint the axle. </t>
  </si>
  <si>
    <t>24-143</t>
  </si>
  <si>
    <t>58F5415002 Platform A., Center Deck</t>
  </si>
  <si>
    <t>Missind Weld nut</t>
  </si>
  <si>
    <t>CAR 24-315</t>
  </si>
  <si>
    <t>Missing two MM0577 weldnuts M12 x 1.75</t>
  </si>
  <si>
    <t>Opeartors; All studs and nuts are provided in the suppllied kit. Make sure you have nothins left in the kit once you finish welding
QA's; these 2 nuts are hidden from a normal Twyn view, so please ensure you check for these 2 nuts</t>
  </si>
  <si>
    <t>24-144</t>
  </si>
  <si>
    <t>58D4601010 UPRIGHT A., STR LH</t>
  </si>
  <si>
    <t>CAR 24-313</t>
  </si>
  <si>
    <t>Weld missing compared to Cambridge built part. Part to print but flagged as different. Built to print but customer would like it filled</t>
  </si>
  <si>
    <t>Chris Manson</t>
  </si>
  <si>
    <t>Issue alert and ad PDF note to print to fill in gaps</t>
  </si>
  <si>
    <t>24-145</t>
  </si>
  <si>
    <t>Dimensional inaccuracy</t>
  </si>
  <si>
    <t>CAR 24-316</t>
  </si>
  <si>
    <t>Control cabinet recieved at pmo with bottom mounting feet bent inward causing cabinet to not fit in saddles on cab.Feet should measure 1388 apart Feet actually 1383 mm apart</t>
  </si>
  <si>
    <t xml:space="preserve">Make sure bottom feet should be welded with the fixture and Twyn inspection and tape measure measurment must be done after welding. </t>
  </si>
  <si>
    <t>24-146</t>
  </si>
  <si>
    <t>CAR 24-317</t>
  </si>
  <si>
    <t>When removing 58B-80-20400 Bracket to replace with a countermeasure, it was found that there was no penetration on the welds.</t>
  </si>
  <si>
    <t>Ensure these brackets are welded to print spec</t>
  </si>
  <si>
    <t>24-147</t>
  </si>
  <si>
    <t>58F2200054 Axle housing STR</t>
  </si>
  <si>
    <t>Broke off part</t>
  </si>
  <si>
    <t>CAR 24-318</t>
  </si>
  <si>
    <t>During assembly at G&amp;D 1 pc of MM0648 broke, possible weld berries on threads. ID&amp;T is missing supplier code stamping.</t>
  </si>
  <si>
    <t>Make sure stud's threads should be free from weld berries and apply appropriate heat input during stud welding. Make sure full stamp should be marked on the axle.</t>
  </si>
  <si>
    <t>24-148</t>
  </si>
  <si>
    <t>58F4601071 Support A, LH Deck</t>
  </si>
  <si>
    <t>Undercut Weld</t>
  </si>
  <si>
    <t>CAR 24-319</t>
  </si>
  <si>
    <t>Gusset on inside has undercut and the top 12mm weld has  reentery angle</t>
  </si>
  <si>
    <t>Ensure the hidden areas are defect free and weld is up to the print. Please talk to the supervisor/QA if you   need more clearity for weld symbol or specification.
Refer QC 4.5 to see the Komatsu Weld Summary.</t>
  </si>
  <si>
    <t>24-149</t>
  </si>
  <si>
    <t>58F5451141 Cabinet</t>
  </si>
  <si>
    <t>CAR 24-321</t>
  </si>
  <si>
    <t>Missing the item #4 58B5430110 Plate, Bent</t>
  </si>
  <si>
    <r>
      <rPr>
        <b/>
        <sz val="11"/>
        <color theme="1"/>
        <rFont val="Calibri"/>
        <family val="2"/>
        <scheme val="minor"/>
      </rPr>
      <t xml:space="preserve">QA's </t>
    </r>
    <r>
      <rPr>
        <sz val="11"/>
        <color theme="1"/>
        <rFont val="Calibri"/>
        <family val="2"/>
        <scheme val="minor"/>
      </rPr>
      <t xml:space="preserve">: 
Going forward all Cabinets " MUST BE" Twyn checked and saved under Twyn folder (same as decks and supports
</t>
    </r>
    <r>
      <rPr>
        <b/>
        <sz val="11"/>
        <color theme="1"/>
        <rFont val="Calibri"/>
        <family val="2"/>
        <scheme val="minor"/>
      </rPr>
      <t>Material Handlers</t>
    </r>
    <r>
      <rPr>
        <sz val="11"/>
        <color theme="1"/>
        <rFont val="Calibri"/>
        <family val="2"/>
        <scheme val="minor"/>
      </rPr>
      <t xml:space="preserve">: 
Make sure right parts are provided in right quantity, and if they didn’t find any parts that needs to use shortage tag
</t>
    </r>
    <r>
      <rPr>
        <b/>
        <sz val="11"/>
        <color theme="1"/>
        <rFont val="Calibri"/>
        <family val="2"/>
        <scheme val="minor"/>
      </rPr>
      <t>Operators</t>
    </r>
    <r>
      <rPr>
        <sz val="11"/>
        <color theme="1"/>
        <rFont val="Calibri"/>
        <family val="2"/>
        <scheme val="minor"/>
      </rPr>
      <t xml:space="preserve">: 
Its your responsibilty to make sure you have all right parts available as per print. If the weld is not complete or waiting for any part shortage, then it must be tagged and should not leave the weld area. 
</t>
    </r>
  </si>
  <si>
    <t>24-150</t>
  </si>
  <si>
    <t>CAR 24-323</t>
  </si>
  <si>
    <t>During assembly at G&amp;D 1 pc of MM0648 weld stud broke off  inside axle for hose routing. Lack of penetration during welding.</t>
  </si>
  <si>
    <t>Jatinder</t>
  </si>
  <si>
    <t>Make sure studs should be welded all round with appropriate welding parameters. Stud gun can be also used to weld the studs.</t>
  </si>
  <si>
    <t>24-151</t>
  </si>
  <si>
    <t>58B5421001 Platform A., LH Deck</t>
  </si>
  <si>
    <t>CAR 24-324</t>
  </si>
  <si>
    <t xml:space="preserve">Customer found 6 pcs of wrong clips were found welded to deck. Clips should be 0819321012, actual clips are 0819331012. Harness will not attach to clips. </t>
  </si>
  <si>
    <t>Material Handlers , make sure you take the right part from the right bin. Always double check to ensure the part is correct.
Operators: We use only one type of clip on decks, check all clips before you weld them</t>
  </si>
  <si>
    <t>24-152</t>
  </si>
  <si>
    <t>10849760-011PEG / 10849759-011 PEG</t>
  </si>
  <si>
    <t>CAR 24-325</t>
  </si>
  <si>
    <t>Missing Seal Weld on Hinge Brackets</t>
  </si>
  <si>
    <t>inspect all Fuel Tanks to ensure that the Hinge, FN32-10711686-011, is welded all-around per 10849759-011,</t>
  </si>
  <si>
    <t>24-153</t>
  </si>
  <si>
    <t xml:space="preserve">58E4600470 UPRIGHT, LEFT STR </t>
  </si>
  <si>
    <t>Off location</t>
  </si>
  <si>
    <t>CAR 24-329</t>
  </si>
  <si>
    <t>58E4600470 not built to print. The dimension 330.3mm was not held and is measured at 305mm.</t>
  </si>
  <si>
    <t>100% TWYN inspection required while part is tacked and Inspector will record the measurment on WO for tacked part.</t>
  </si>
  <si>
    <t>24-154</t>
  </si>
  <si>
    <t xml:space="preserve">CAR 24-332 </t>
  </si>
  <si>
    <t>Sheet metal 58B4601610 top and EK5440 bottom was installed approximately 9 mm out of square to the upright tubes</t>
  </si>
  <si>
    <t>100% TWYN inspection required by Inspector. Inspector needs to audit part as per the print.</t>
  </si>
  <si>
    <t>24-155</t>
  </si>
  <si>
    <t>58F2200054 Axle, Housing STR</t>
  </si>
  <si>
    <t>Misalignment</t>
  </si>
  <si>
    <t>CAR 24-336</t>
  </si>
  <si>
    <t>During assembly at G&amp;D anti sway bar pin was found not moving through both TX8110 sleeves. Sleeves are not in line.  Two different pins tried with same result.</t>
  </si>
  <si>
    <t xml:space="preserve">Bores should be checked with Pin Gauge after machining for alignment. </t>
  </si>
  <si>
    <t>24-156</t>
  </si>
  <si>
    <t>Poor Paint</t>
  </si>
  <si>
    <t>CAR 24-337</t>
  </si>
  <si>
    <t>During assembly at G&amp;D axle was found with poor paint appearance on top of nose cone portion of axle. Paint looks and feels rough. Sand or shot under paint.</t>
  </si>
  <si>
    <t xml:space="preserve">Paint preparation should be done in appropriate way. Make sure all surfaces should be free from dust, rust, spatters and other foreign particles. </t>
  </si>
  <si>
    <t>24-157</t>
  </si>
  <si>
    <t>Flatness out of spec</t>
  </si>
  <si>
    <t>CAR 24-335</t>
  </si>
  <si>
    <t>Mounting surfaces being out of flat causing assembly issues.</t>
  </si>
  <si>
    <t>Make sure flatness is being held. Confirm with staright edge</t>
  </si>
  <si>
    <t>24-158</t>
  </si>
  <si>
    <t>CAR 24-338</t>
  </si>
  <si>
    <t>During assembly at G&amp;D axle was found with one damagd MM0648 weld stud, hit with grinder. Shot under paint, paint runs present. Weld berries, weld wire, and poor weld quality (cold rolled, drips) found at rear of axle.</t>
  </si>
  <si>
    <t xml:space="preserve">Make sure welding and grinding should be done with appropriate technique and parameters. Paint defects should be fixed before to ship. </t>
  </si>
  <si>
    <t>24-159</t>
  </si>
  <si>
    <t>PC1823 Wiper Arm</t>
  </si>
  <si>
    <t>Broken/Damaged</t>
  </si>
  <si>
    <t>CAR24-300</t>
  </si>
  <si>
    <t>The nut on the wiper arm backed off and stripped the splines out of the wiper arm and its linkage</t>
  </si>
  <si>
    <t>Torque wrench MUST be used to tighten the nuts. Torque must be 23-25 Nm as per priint.</t>
  </si>
  <si>
    <t>24-160</t>
  </si>
  <si>
    <t>Missing Operation</t>
  </si>
  <si>
    <t>Blast operation was not done inside the nose cone.</t>
  </si>
  <si>
    <t xml:space="preserve">Please make sure blasting should be done on all surfaces of axle. </t>
  </si>
  <si>
    <t>24-161</t>
  </si>
  <si>
    <t>Undercut,welds not wrapped/blend</t>
  </si>
  <si>
    <t>Poor weld qaulity. Undercut,welds not wrapped/blend. See pictures attached</t>
  </si>
  <si>
    <t>Supervisors/ Lead hands please review and communicate to operators and coach them if needed</t>
  </si>
  <si>
    <t>24-162</t>
  </si>
  <si>
    <t>All Axles</t>
  </si>
  <si>
    <t>Weld defects</t>
  </si>
  <si>
    <t>We are finding poor quality weld on all over the axles such as
	 Blending start and stops and spacing of the start and stops. 
	 Wrapping corners on weld properly 
	 Blending the corners correctly 
	 Incomplete welds/ undersized welds. 
	 Cold Roll/ Porosity welds
	 Proper name plate stamping
	 Spatter 
	 The quality of the blending</t>
  </si>
  <si>
    <t>Welders: Use the appropriate weld parameters to ensure the quality of weld meet the customer requirements</t>
  </si>
  <si>
    <t>24-163</t>
  </si>
  <si>
    <t>58E2200133 Axle, Housing STR</t>
  </si>
  <si>
    <t>CAR 24-339</t>
  </si>
  <si>
    <t>During assembly at G&amp;D lower rear suspension pins were found not insertng in TX8110 sleeves, both sides. One pin fits in anti-sway bar sleeves but does not fit in suspension sleeves. TX8110 print lists ID dimension of 127.102+/-.025 mm. Actual measurments are approx 126.90 on  all 4 sleeves.</t>
  </si>
  <si>
    <t xml:space="preserve">Bores should be checked with Pin Gauge after machining for alignment and correct diameter. </t>
  </si>
  <si>
    <t>24-164</t>
  </si>
  <si>
    <t>incorrect oriemtation</t>
  </si>
  <si>
    <t>Item #48 (cable plate EK7433) was installed in the incorrect orientation.</t>
  </si>
  <si>
    <t>Dion Simon</t>
  </si>
  <si>
    <t>Please double-check that the EK743 cable plate is installed in the correct orientation before welding it place. Please see the print for orientation.</t>
  </si>
  <si>
    <t>24-165</t>
  </si>
  <si>
    <t>Cambridge/Woodstock</t>
  </si>
  <si>
    <t>Pin for anti sway bar was found not moving through 1 TX8110 sleeve, appears to be out of round. Anti-sway bar can not be installed. This is a 3rd time rejection for the same issue</t>
  </si>
  <si>
    <t>Bores MUST be 100% pin gauge checked after installing bushing for allignment and operator MUST sign off the check sheet after pin gauge verification</t>
  </si>
  <si>
    <t>24-166</t>
  </si>
  <si>
    <t>All axle, Housing STR</t>
  </si>
  <si>
    <t>Removal of Stamp Plate</t>
  </si>
  <si>
    <t>Welding of Stamp Plate on Axle</t>
  </si>
  <si>
    <t xml:space="preserve">Moving Forward customer is agreed to accept the direct stamp on the nose at the same location as long as the stamp is legible after paint. </t>
  </si>
  <si>
    <t>24-167</t>
  </si>
  <si>
    <t>58B2200812  Axle Housing, STR</t>
  </si>
  <si>
    <t>Rust on machined surfaces</t>
  </si>
  <si>
    <t>CAR 24-344</t>
  </si>
  <si>
    <t>Surface rust was found on wheel motor machined surfaces, both sides at top. RP is present but not applied properly to prevent rust. Rust is also present at anti sway bar bores, unknown why not painted at these locations to prevent rust.</t>
  </si>
  <si>
    <t xml:space="preserve">Rust Protector must be applied appropriately all over the machined surfaces as per Komatsu spec. and no surface should be left without paint unless otherwise specified on the drawing. </t>
  </si>
  <si>
    <t>24-168</t>
  </si>
  <si>
    <t>All Komatsu Parts</t>
  </si>
  <si>
    <t>Weld surfaces found full of rust, scale and slag. Part was welded when the part was lower than specified temprature.</t>
  </si>
  <si>
    <t>Welders needs to clean the part and make sure it is meeeting specified requirement as per QC4.5. Refer the QC4.5- book for more details.</t>
  </si>
  <si>
    <t>24-169</t>
  </si>
  <si>
    <t>Tube and Sheet Assembly was welded on uneven heights. Dim 83.0 found at 77 U/S. TWYN was failed to heighlight it.</t>
  </si>
  <si>
    <t>Welders needs to maitin the hegiht on tube assembly. 100% Inspection in tacked condition by Welder and quality inspector.</t>
  </si>
  <si>
    <t>24-170</t>
  </si>
  <si>
    <t>SP-3132, Chassis</t>
  </si>
  <si>
    <t xml:space="preserve">Critical dimension 25 1/8 is out by 5 inchs. Other relative dimension is also out. It seems like was welded to wrong (SP-073) print. </t>
  </si>
  <si>
    <t xml:space="preserve">Welder should use the appropriate drawing after verifying with work order. </t>
  </si>
  <si>
    <t>24-171</t>
  </si>
  <si>
    <t>Customer</t>
  </si>
  <si>
    <t>Missing bar on the inside left side on the bottom of the enclosure directly inside the door</t>
  </si>
  <si>
    <t>Welders;
Ensure all the Tie bars are welded as per print
QA's; 
100% Twyn ispection to find out missing components on cabinets</t>
  </si>
  <si>
    <t>24-172</t>
  </si>
  <si>
    <t>CAR 24-347</t>
  </si>
  <si>
    <t>During assembly at G&amp;D pin for anti-sway bar was found not moving through both TX8110 sleeves, sleeves are not in line. Surface rust is present around outside of bores due to no paint at these areas, unknown why not painted at these locations.</t>
  </si>
  <si>
    <t xml:space="preserve">Pin Check Must be performed after sleeve installation. Rust Protector must be applied appropriately all over the machined surfaces as per Komatsu spec. and no surfaces should be left without paint unless otherwise specified on the drawing. </t>
  </si>
  <si>
    <t>24-173</t>
  </si>
  <si>
    <t>58B5422835 Cabinet</t>
  </si>
  <si>
    <t>Wrong stud used</t>
  </si>
  <si>
    <t>Weld/Material Handling</t>
  </si>
  <si>
    <t>CAR 24-352</t>
  </si>
  <si>
    <t>Wrong studs got welded on the bottom plate (5858B5450041). Print calls for M8 X 30mm studs</t>
  </si>
  <si>
    <t>Material Handlers , make sure you take the right part fas per work order. Always double check to ensure the part is correct.
Operators: Make sure all parts provided are correct before using them</t>
  </si>
  <si>
    <t>24-174</t>
  </si>
  <si>
    <t>Missing Paint</t>
  </si>
  <si>
    <t>CAR24-353</t>
  </si>
  <si>
    <t>Bottom side of the cab is only primed, no finish coat.</t>
  </si>
  <si>
    <t>Lead Hands/QA's; All Cabs MUST be 100% inspected  at the bottom to make sure its properly painted
 (prime + finish coat)</t>
  </si>
  <si>
    <t>24-175</t>
  </si>
  <si>
    <t>CAR 24-354</t>
  </si>
  <si>
    <t>During assembly at G&amp;D surface rust was found on wheel motor machined surfaces. RP was applied but not applied correctly to prevent rust.</t>
  </si>
  <si>
    <t xml:space="preserve">Rust Protector must be applied Twice in order to achieve 50 micron thick film. When first coat will dry out then second coat can be applied. </t>
  </si>
  <si>
    <t>24-176</t>
  </si>
  <si>
    <t>10694448-011 Plate, Insep Assy</t>
  </si>
  <si>
    <t>CAR24-356</t>
  </si>
  <si>
    <t>Profie measurement found out of specification. Parts were not formed up to the print.</t>
  </si>
  <si>
    <t>100% Inspection by operator and QA using template. CMM measurement of entire part as per the AQL table of GDLS.</t>
  </si>
  <si>
    <t>24-177</t>
  </si>
  <si>
    <t xml:space="preserve">Weld has Lack of penetration </t>
  </si>
  <si>
    <t>CAR 24-357</t>
  </si>
  <si>
    <t>Poor weld penetration on the inlet side,lack of weld at seam.</t>
  </si>
  <si>
    <t>Make sure the ring has a minimum of 1mm  gap in order to achieve full weld penetration.</t>
  </si>
  <si>
    <t>24-178</t>
  </si>
  <si>
    <t>58B5463860 Grille Str Top</t>
  </si>
  <si>
    <t>CAR 24-358</t>
  </si>
  <si>
    <t xml:space="preserve"> Item# 23(EF8148) Cover Str  has the wrong C/S welded into it for the radiator cap to bolt on. The C/S are to be .875 in long they measured .750in.</t>
  </si>
  <si>
    <t>This part is outsourced, but we provide all the parts to the supplier.
Material handlers: Make sure right parts are picked as per work order. Verify the length &amp; thread size of studs, nuts and cap screws as it can be mis-interptered easily.</t>
  </si>
  <si>
    <t>24-179</t>
  </si>
  <si>
    <t>CAR 24-359</t>
  </si>
  <si>
    <t>Sub-Part (SP-3143) is welded off location near about two inches.</t>
  </si>
  <si>
    <t>Please make sure the measurement from the top surface to bottom of the bracket should be 22.625 inches as shown in the drawing.</t>
  </si>
  <si>
    <t>24-180</t>
  </si>
  <si>
    <t xml:space="preserve">SM5245 Chain Beaded </t>
  </si>
  <si>
    <t>Final Assembly</t>
  </si>
  <si>
    <t>CAR 24-360</t>
  </si>
  <si>
    <t>Beaded chain recieved at PMO missing nickel plated coupling on one end</t>
  </si>
  <si>
    <t>Check all parts visually while packaging to ensure there are no missing components</t>
  </si>
  <si>
    <t>24-181</t>
  </si>
  <si>
    <t>SM2258</t>
  </si>
  <si>
    <t xml:space="preserve">Wrong Part </t>
  </si>
  <si>
    <t>CAR 24-361</t>
  </si>
  <si>
    <t>Wrong parts sent by supplier. Part #SM2258 was Ordered, but part #SM2548 was received.</t>
  </si>
  <si>
    <t>Ensure the right parts are picked up and packed as per the Work Order</t>
  </si>
  <si>
    <t>24-182</t>
  </si>
  <si>
    <t>Missing components</t>
  </si>
  <si>
    <t>CAR 24-363</t>
  </si>
  <si>
    <t>Studs are missing on the frame rails.</t>
  </si>
  <si>
    <t xml:space="preserve"> Visual stud verification with drawing and Twyn inspection must be performed after final welding. </t>
  </si>
  <si>
    <t>25-001</t>
  </si>
  <si>
    <t>CAR 25-001</t>
  </si>
  <si>
    <t xml:space="preserve">58B2201620 hatch door was found not latching closed properly. Latch will not grab keeper. EL0851 possibly welded off location for keeper. </t>
  </si>
  <si>
    <t>Use the fixture in appropriate way and verify the measurments afterwards.</t>
  </si>
  <si>
    <t>25-002</t>
  </si>
  <si>
    <t>CAR 25-002</t>
  </si>
  <si>
    <t xml:space="preserve">Right hand side mounting plate is welded on approx 120mm off.  Spec: 1321.1mm  &amp; actual measurement is  1200mm. </t>
  </si>
  <si>
    <t>100% Twyn inspection MUST be done on all control boxes before wash/paint</t>
  </si>
  <si>
    <t>25-003</t>
  </si>
  <si>
    <t>58F8000884</t>
  </si>
  <si>
    <t>25-004</t>
  </si>
  <si>
    <t>SP-10, Sp-3132 Chassis</t>
  </si>
  <si>
    <t>Out of square</t>
  </si>
  <si>
    <t>CAR 25-008</t>
  </si>
  <si>
    <t>The left side operator console mount socket (SP-134) is not square to the deck of the machine.</t>
  </si>
  <si>
    <t>Mount Sockets should be checked for square after welding and do not apply excessive heat input during hollow pipe welding.</t>
  </si>
  <si>
    <t>25-005</t>
  </si>
  <si>
    <t>CAR 25-007</t>
  </si>
  <si>
    <t>58E-54-10682 trim bracket is off location inside of cab causing RH side panel 58B-54-70770 to not fit properly. Trim bracket should measure 345.1mm from tapped hole in rops frame. Actual measurement is approx. 341mm</t>
  </si>
  <si>
    <t>QA's: Make sure these brackets are at the right location while doing Twyn
Lead hands: We do have a fixture in place to locate the position of the bracket. Ensure that everyone uses the fixture.</t>
  </si>
  <si>
    <t>25-006</t>
  </si>
  <si>
    <t xml:space="preserve">10694448-011 / 10854067-011 </t>
  </si>
  <si>
    <t>CAR 25-009 / 25-010</t>
  </si>
  <si>
    <t>25-007</t>
  </si>
  <si>
    <t>CAR 25-013</t>
  </si>
  <si>
    <t>The frame is missing a latch Item no. 13 on drawing SP-3135 (M5075) for holding the side door open on the machine</t>
  </si>
  <si>
    <t xml:space="preserve">Every sub-component must be verifed for presence after welding and Twyn inspection should also be peformed at the end of welding process. </t>
  </si>
  <si>
    <t>25-008</t>
  </si>
  <si>
    <t>PM-11 Contorl of non-confiming product</t>
  </si>
  <si>
    <t>Process Map PM-11 was update so we can handle rejected parts in effecive way. Please see atathed PM-11 - Control of Non-Confroiming Products</t>
  </si>
  <si>
    <t>25-009</t>
  </si>
  <si>
    <t xml:space="preserve">10655720-011 / 10655721-011 </t>
  </si>
  <si>
    <t>VI00052209 / CD00331463 / CD00331510</t>
  </si>
  <si>
    <t>Fuel Tank Hinge Plate (FN13) is out of location. It is preventing fuel tank lid to be installed. Dim 76.6/77.1 found 83 O/S</t>
  </si>
  <si>
    <t>Verify the fixture or template use to weld the hinges.100% inspection by QA and welder.</t>
  </si>
  <si>
    <t>25-010</t>
  </si>
  <si>
    <t>LS1006091</t>
  </si>
  <si>
    <t>Dmaged Part</t>
  </si>
  <si>
    <t>CAR 24-362</t>
  </si>
  <si>
    <t xml:space="preserve"> There are visible hammer marks and divots in these parts.</t>
  </si>
  <si>
    <t>100% Visual inspection of parts required by welder and Operator to ensure thay are not damaged.</t>
  </si>
  <si>
    <t>25-011</t>
  </si>
  <si>
    <t>58E5430653 Door Handle LH</t>
  </si>
  <si>
    <t>Wrong Part</t>
  </si>
  <si>
    <t>CAR 25-015</t>
  </si>
  <si>
    <t xml:space="preserve">Customer ordered 58E5430653 but we supplied them 58E5430663 and the label on the part was different too (58E5430652). </t>
  </si>
  <si>
    <t>Refer the print and Quality Alert to make sure the part and label is correct prir to packaging. Differences between 2 door handles are attached</t>
  </si>
  <si>
    <t>25-012</t>
  </si>
  <si>
    <t>CAR 25-016</t>
  </si>
  <si>
    <t>Cab assy recieved at PMO with the bottom rh mm0576 weld nut welded off location on the 58E5424252 plate A.,Steering mtg. The steering column will not bolt up.</t>
  </si>
  <si>
    <t>All welded nuts MUST be checked with the right sized bolt to ensure nuts are centered to the hole</t>
  </si>
  <si>
    <t>25-013</t>
  </si>
  <si>
    <t>40240854 End Housing ASM-Weld</t>
  </si>
  <si>
    <t>Process Change</t>
  </si>
  <si>
    <t>FN6- 40104975 -Support Tapped needs to weld after heat treatment and stress relieving as per work order. It applies to specific end hosuings.</t>
  </si>
  <si>
    <t>Welder needs to ensure that they are following the process as specified in the  work order</t>
  </si>
  <si>
    <t>25-014</t>
  </si>
  <si>
    <t>58B4601802 Support, Str.</t>
  </si>
  <si>
    <t>Multiple weld defects</t>
  </si>
  <si>
    <t>CAR 25-017</t>
  </si>
  <si>
    <t>PPAP Part. item 33 should be welded under Item 4 both sides. Item 34&amp;35 channel welds are low and have undercut. Welds needs to go over tacks.berries ,overlap, reentery angle lack of fusion on prep parts size on conner of the tubes</t>
  </si>
  <si>
    <t>Welders: When it’s a PPAP part please refer print multiple times to ensure all welds multpile times before and after welding
QA's: Make sure you check all welds to ensure it is welded to print</t>
  </si>
  <si>
    <t>25-015</t>
  </si>
  <si>
    <t>CAR 25-018</t>
  </si>
  <si>
    <t xml:space="preserve">Rear tube STR 58F2200940 was found not fitting on rear axle. Print dimension of 684 mm between 58F2200830 tapped pads measures approx 687 mm. </t>
  </si>
  <si>
    <t>Use the fixture in appropriate way and verify the measurments afterwards if Twyn shows off location.</t>
  </si>
  <si>
    <t>25-016</t>
  </si>
  <si>
    <t>58B5421831</t>
  </si>
  <si>
    <t>stud broke off</t>
  </si>
  <si>
    <t>CAR 25-019</t>
  </si>
  <si>
    <t xml:space="preserve">Broken stud on inner left wall( May be lack of fusion) </t>
  </si>
  <si>
    <t>Need to weld the studs with appropriate welding parameters</t>
  </si>
  <si>
    <t>25-017</t>
  </si>
  <si>
    <t>58F4600541 Upright A., L.H. STR</t>
  </si>
  <si>
    <t>out of location</t>
  </si>
  <si>
    <t>CAR 25-020</t>
  </si>
  <si>
    <t>58F4600541 found with sheet metal (58F-46-00590 &amp; 58F-46-00580) not square and on right location. 38.0 dimension found out of specification.</t>
  </si>
  <si>
    <t>Weld the sheet as per the print dimensions. 100% inspection required by welder and QA.</t>
  </si>
  <si>
    <t>25-018</t>
  </si>
  <si>
    <t>CAR 25-021</t>
  </si>
  <si>
    <t>Cab floor RH lwr sheet 58E-54-24761 has hole/weld nut off location where 58B5470490 dash bottom cover bolts to  the floor. hole should measure 318mm from the egde of the  lower sheet hole actually measures approx. 315mm causing cover to not properly fit.</t>
  </si>
  <si>
    <t xml:space="preserve">Measurement should be taken properly during welding. </t>
  </si>
  <si>
    <t>25-019</t>
  </si>
  <si>
    <t>2025-02-29</t>
  </si>
  <si>
    <t>58E2200133 Axle Housing STR</t>
  </si>
  <si>
    <t>CAR 25-023</t>
  </si>
  <si>
    <t>2 pcs of EG7814 were found welded to axle off location. Print 58E2200143 lists dimension of 162.7 mm center of hole to center of hole. Actual measurement is approx 150 mm between holes.</t>
  </si>
  <si>
    <t>Measurement should be taken properly during marking process and should be verified after tack welding</t>
  </si>
  <si>
    <t>25-020</t>
  </si>
  <si>
    <t>2025-02-30</t>
  </si>
  <si>
    <t>CAR 25-024</t>
  </si>
  <si>
    <t>Weld not complete around stud in section C-C on Page 2.</t>
  </si>
  <si>
    <t xml:space="preserve">Studs must be welded all around as per drawing. </t>
  </si>
  <si>
    <t>25-021</t>
  </si>
  <si>
    <t xml:space="preserve">Off Location </t>
  </si>
  <si>
    <t>CAR 25-025</t>
  </si>
  <si>
    <t>Bar on right door welded towards right side of door instead of left side of door.</t>
  </si>
  <si>
    <t xml:space="preserve">Rods should be welded according to the print and must be verifed after tack welding. </t>
  </si>
  <si>
    <t>25-022</t>
  </si>
  <si>
    <t>CAR 25-026</t>
  </si>
  <si>
    <t>Missing bar on back panel in left compartment of enclosure.</t>
  </si>
  <si>
    <t>Welder should cross check all the Componets after welding. Inspectors must verify all welded components with TWYN.</t>
  </si>
  <si>
    <t>25-023</t>
  </si>
  <si>
    <t>CAR 25-027</t>
  </si>
  <si>
    <t>Tank was found with damaged threads at 58B0200570 flange. Threads look and feel rough,filter will not install fully due to threads damaged at bottom of flange.</t>
  </si>
  <si>
    <t>Threads must be protected before to start welding.                      Wrapped with aluminium foil ,                                        Apply anti spatter spray,                                                          Plug the threaded holes</t>
  </si>
  <si>
    <t>25-024</t>
  </si>
  <si>
    <t>Damaged/ Off location</t>
  </si>
  <si>
    <t>CAR 25-028</t>
  </si>
  <si>
    <t>During assembly at G&amp;D axle was found with weld in holes of EM8618 bracket str for blower press switch box and portable light. VH9969 studs welded to EM8619 off position &amp; weld at top of TY1334 pipe. ORDER 1 PC EM8618.</t>
  </si>
  <si>
    <t>Jatinder singh</t>
  </si>
  <si>
    <t>Please remove all tack welds after welding and holes also should be protected from molten metal. Measurements should be verified before to start welding.</t>
  </si>
  <si>
    <t>25-025</t>
  </si>
  <si>
    <t>58E5404775 Platform LH Deck</t>
  </si>
  <si>
    <t>CAR 25-029</t>
  </si>
  <si>
    <t xml:space="preserve">During assembly at G&amp;D weld was found in hole of EK7293 tapped pad for handrail mounting, bolt will not tighten to handrail.    </t>
  </si>
  <si>
    <t xml:space="preserve">Arc strikes and tack welds must be grind off . These kinds of defects are not acceptable. </t>
  </si>
  <si>
    <t>25-026</t>
  </si>
  <si>
    <t>Customer Revision Change</t>
  </si>
  <si>
    <t>Engineering</t>
  </si>
  <si>
    <t>CN0022583 / ECN 25-006</t>
  </si>
  <si>
    <t xml:space="preserve">WAS: REVISION 4 - Fill gaps between tube and plate </t>
  </si>
  <si>
    <t>Geodi Noble</t>
  </si>
  <si>
    <t>TO BE: REVISION 5 - TYP PLUG weld followed by 6mm fillet weld TYP</t>
  </si>
  <si>
    <t>25-027</t>
  </si>
  <si>
    <t>Missing components and stamp</t>
  </si>
  <si>
    <t>CAR 25-031</t>
  </si>
  <si>
    <t xml:space="preserve">Rear body weldment (SP-165) is missing both item 13's (Lashing D'ring W/ Mount) and identification serial no. </t>
  </si>
  <si>
    <t xml:space="preserve">Part must be fully checked with TWYN/ Visually for missing components and stamp. Kit should be also verified for all components before to use.  </t>
  </si>
  <si>
    <t>25-028</t>
  </si>
  <si>
    <t>58F2200054 Axle Housing STR</t>
  </si>
  <si>
    <t>Welding defects</t>
  </si>
  <si>
    <t>CAR 25-032</t>
  </si>
  <si>
    <t xml:space="preserve">Welding defects like undercuts, Lack of fusion, pin holes, undersize, weld barries etc. </t>
  </si>
  <si>
    <t xml:space="preserve">Always use appropriate welding parameters and techniques. Operator must inspect his own work and fix it on the spot. Even single pin hole, single undercut,  weld barries, tiny lack of fusions are not acceptable any more. </t>
  </si>
  <si>
    <t>25-029</t>
  </si>
  <si>
    <t>58F0400950 Tank A., Def. Cover</t>
  </si>
  <si>
    <t>CAR 25-039</t>
  </si>
  <si>
    <t xml:space="preserve">Tank was found with 1 pc of 58B0202140 tapped seat welded off location. Print 58F0200851 lists dimension of 434.0 mm, actual measurment is approx 234 mm. </t>
  </si>
  <si>
    <t xml:space="preserve">Measurements should be taken properly and verified after tack welding. </t>
  </si>
  <si>
    <t>25-030</t>
  </si>
  <si>
    <t>CAR 25-042</t>
  </si>
  <si>
    <t xml:space="preserve">Cab recieved at PMO with 58E-54-23784 plate stamped
       inncorecttly Radio and WIFI stamps flipped on plate.
       </t>
  </si>
  <si>
    <t xml:space="preserve">Part should be marked off as per customer drawing and verifed from inspector. </t>
  </si>
  <si>
    <t>25-031</t>
  </si>
  <si>
    <t>CAR 25-043</t>
  </si>
  <si>
    <t>Missing bar on top inside panel of left compartment</t>
  </si>
  <si>
    <t xml:space="preserve">Presence of all components must be verify with drawing and TWYN inspection after final welding.  </t>
  </si>
  <si>
    <t>25-032</t>
  </si>
  <si>
    <t>CAR 25-044</t>
  </si>
  <si>
    <t xml:space="preserve">When deck was lifted from supplier transport stand bent sheet metal was found from deck not loaded and banded to stand properly. Sheet metal was sitting on white protective plastic causing the damage. </t>
  </si>
  <si>
    <t xml:space="preserve">Part should be carefully loaded on the stand and fully secured with the straps before to ship. </t>
  </si>
  <si>
    <t>25-033</t>
  </si>
  <si>
    <t>58F5452851</t>
  </si>
  <si>
    <t>Platform C-decks may have shipped without bolt on angle and associated hardware. Also work order number should be verified to matching unit.</t>
  </si>
  <si>
    <t>Jordan Hancock</t>
  </si>
  <si>
    <t>Verify that bolt on angles are installed to C-decks (when required) and that stamping is verified to matched unit for proper fit and function.</t>
  </si>
  <si>
    <t>25-034</t>
  </si>
  <si>
    <t>During assembly at G&amp;D hatch door hinges were found welded to axle 180 degrees off location causing hatch door to not  close and not centered in opening. Hinge p/n's EL0850 &amp; EL0849.</t>
  </si>
  <si>
    <t xml:space="preserve">Part must be welded to print and fully inspected after final welding. </t>
  </si>
  <si>
    <t>25-035</t>
  </si>
  <si>
    <t>All Axle Housing STR</t>
  </si>
  <si>
    <t xml:space="preserve">prohibition </t>
  </si>
  <si>
    <t xml:space="preserve">Seam sealer is not allowed to use on the structural welds and not everyone can use it. </t>
  </si>
  <si>
    <t xml:space="preserve">Seam sealer can be used if welds are already meet the Komatsu QC 4.5 specifications and only selected authorized personnels can use it. </t>
  </si>
  <si>
    <t>25-036</t>
  </si>
  <si>
    <t>X830032211 CAB G.</t>
  </si>
  <si>
    <t>CAR 25-047</t>
  </si>
  <si>
    <t>The two nuts for the passenger seat teather eye  bolts dont line up with the holes in the floor</t>
  </si>
  <si>
    <t xml:space="preserve">Nuts should be welded with the help of mating bolts. </t>
  </si>
  <si>
    <t>25-037</t>
  </si>
  <si>
    <t>CAR 25-048</t>
  </si>
  <si>
    <t>Welding defects like overlap, pin holes etc.</t>
  </si>
  <si>
    <t xml:space="preserve">Welders must use the appropriate welding techniques and parameters in order to achieve high welding quality. Welds quality should also meet Komatsu QC 4.5 standard. </t>
  </si>
  <si>
    <t>25-038</t>
  </si>
  <si>
    <t>58F5452851 CTR Deck</t>
  </si>
  <si>
    <t>CAR 25-049</t>
  </si>
  <si>
    <t>Missing a M10x1.5x50 Cap screw</t>
  </si>
  <si>
    <t xml:space="preserve">Part must be fully checked with TWYN/ Visually for missing components. Kit should be also verified for all components before to use.  </t>
  </si>
  <si>
    <t>25-039</t>
  </si>
  <si>
    <t>CAR 25-052</t>
  </si>
  <si>
    <t>During assembly at G&amp;D 1 pc of MM0073 broke free from  inside of axle due to poor weld quality, lack of fusion.</t>
  </si>
  <si>
    <t>Cap Screws are must be welded all-around as per Komatsu Standard 4.01.001</t>
  </si>
  <si>
    <t>25-040</t>
  </si>
  <si>
    <t>CAR 25-054</t>
  </si>
  <si>
    <t>Lack of penetration on the TR4439 c/s to the EF8142 mount plate Causing cap screw to break free during assembly process.</t>
  </si>
  <si>
    <t xml:space="preserve">Cap Screws are must be welded appropriatly as per customer drawing.  </t>
  </si>
  <si>
    <t>25-041</t>
  </si>
  <si>
    <t>Shipping of Hoppers</t>
  </si>
  <si>
    <t>Mishandling</t>
  </si>
  <si>
    <t>Midland hoppers were loaded onto flatbed trailers in wrong orientation.</t>
  </si>
  <si>
    <t>Hoppers to be loaded with long side (viewed from side) down towards trailer. Short side up for ease of loading/unloading and stability.</t>
  </si>
  <si>
    <t>25-042</t>
  </si>
  <si>
    <t>CAR 25-057</t>
  </si>
  <si>
    <t>Elbow will not thread into port due to 1 pc of EG7814 tapped pad welded too close to port. Print  lists dimension of 20 degrees from top/center of axle. Surface rust found at wheel motor machined surfaces due to poor RP application.</t>
  </si>
  <si>
    <t xml:space="preserve">Measurements should be taken properly and verified after tack welding. Two coats of RP should be applied on the machined surface. </t>
  </si>
  <si>
    <t>25-043</t>
  </si>
  <si>
    <t>CAR 25-058</t>
  </si>
  <si>
    <t>During assembly at G&amp;D 58F2200920 cover was found not
fitting on axle, cover measures to print.</t>
  </si>
  <si>
    <t>Measurements should be taken properly as per customer drawing and verify again before to start cutting.   Dimensions are on print 58F2200220 and 58F2200210 for cut outs.</t>
  </si>
  <si>
    <t>25-044</t>
  </si>
  <si>
    <t>10849759-011 LH Fuel Tank</t>
  </si>
  <si>
    <t>Out of specification</t>
  </si>
  <si>
    <t>CAR 25-056</t>
  </si>
  <si>
    <t xml:space="preserve">Profile 2|K is failed and measured at 13.993. True position of slot- 3 |K|J|L failed to meet the print. </t>
  </si>
  <si>
    <t>100% inspection by operator and QA using the new inspection template. Welder needs to make sure that fixture is positioned propelry when welding the10849751 Plate.</t>
  </si>
  <si>
    <t>25-045</t>
  </si>
  <si>
    <t>CAR 25-059</t>
  </si>
  <si>
    <t>The EG1796 bar, tapped on the inside of the rear case is welded on too high the bracket that bolts too it hits the tube on the rear case.</t>
  </si>
  <si>
    <t xml:space="preserve">Measurements should be taken properly as per customer drawing and verify again before to start cutting.  </t>
  </si>
  <si>
    <t>25-046</t>
  </si>
  <si>
    <t>CN0022166/ECN25-011</t>
  </si>
  <si>
    <t>Change Item 19 from 58B4604660 to 58B4604661</t>
  </si>
  <si>
    <t>25-047</t>
  </si>
  <si>
    <t>CAR 25-062</t>
  </si>
  <si>
    <t>During assembly at G&amp;D 58D0400540 coverwas found not fitting, on axle. Axle print shows 4 pc of MM0082 in line 400 mm apart, bolts not welded in line causing cover to not fit.</t>
  </si>
  <si>
    <t>25-048</t>
  </si>
  <si>
    <t>Paint Peeling</t>
  </si>
  <si>
    <t>CAR 25-063</t>
  </si>
  <si>
    <t xml:space="preserve">Paint came off when installing the bulck head fittings  for brake and steering hoses. </t>
  </si>
  <si>
    <t xml:space="preserve">Part cleaning and paint mixing should be done as per SOP. </t>
  </si>
  <si>
    <t>25-049</t>
  </si>
  <si>
    <t>58F5454401 Cabinet</t>
  </si>
  <si>
    <t>CAR 25-064</t>
  </si>
  <si>
    <t xml:space="preserve">CAB Brake cabinet recieved at pmo with broken stud inside
       </t>
  </si>
  <si>
    <t xml:space="preserve">If you find the issue with the part during assembly or inprocess, you need to bring up to supervisor and QA immediately. </t>
  </si>
  <si>
    <t>25-050</t>
  </si>
  <si>
    <t>CAR 25-067</t>
  </si>
  <si>
    <t>Cab recieved at PMO with damaged PC0639 connector at JWW break out on harness 58B-06-06160.</t>
  </si>
  <si>
    <t xml:space="preserve">Need to use more cautions while assembling electric components. </t>
  </si>
  <si>
    <t>25-051</t>
  </si>
  <si>
    <t>CAR 25-069</t>
  </si>
  <si>
    <t>Platform Center deck recieved at PMO missing item #79, 58f5409600 Bracket assy Str. along with the mounting hardware for it</t>
  </si>
  <si>
    <t xml:space="preserve">Part should be verified with TWYN before to ship and green tag should be signed off by Inspector. </t>
  </si>
  <si>
    <t>25-052</t>
  </si>
  <si>
    <t>CAR 25-071</t>
  </si>
  <si>
    <t xml:space="preserve">Weld defects like Hook and CW. </t>
  </si>
  <si>
    <t xml:space="preserve">Hook defect means in welding is sharpe edge of the weld and CW means Corner Wrap. Corners must be wrapped and blend  properly. </t>
  </si>
  <si>
    <t>25-053</t>
  </si>
  <si>
    <t>CAR-075</t>
  </si>
  <si>
    <t xml:space="preserve">       Cab recieved at PMO missing 58E-54-27090 Cab decal mnt plate</t>
  </si>
  <si>
    <t xml:space="preserve">Part should be properly checked and check sheet only marked off after verification. </t>
  </si>
  <si>
    <t>25-054</t>
  </si>
  <si>
    <t>CAR 25-083</t>
  </si>
  <si>
    <t xml:space="preserve">     Anti- sway bar pin was found not
       moving through both bores in XB3497. Bores appear to be not in line.  1 pc of MM0648 weld stud was found
       welded to wrong side of XB6732 light bracket for harness
       routing</t>
  </si>
  <si>
    <t xml:space="preserve">Part should be welded and machined according to cutomer drawing . Pin check after machining and  TWYN inspection must be performed carefully. </t>
  </si>
  <si>
    <t>25-055</t>
  </si>
  <si>
    <t>58E5426002 CAB A., Cabinet</t>
  </si>
  <si>
    <t>CAR 25-084</t>
  </si>
  <si>
    <t>Brake cabinet recieved at PMO with 3 out of 4 bolts loose
       on the left hand top door handle.</t>
  </si>
  <si>
    <t xml:space="preserve">Assembler must double check own work. </t>
  </si>
  <si>
    <t>25-056</t>
  </si>
  <si>
    <t>CD00332807</t>
  </si>
  <si>
    <t>Verify the welded part using inspection template. 100% inspection by QA and welder.</t>
  </si>
  <si>
    <t>25-057</t>
  </si>
  <si>
    <t>CAR 25-088</t>
  </si>
  <si>
    <t>1 pc of DC0859 coupling was found out of round, harness connector will not thread into coupling.</t>
  </si>
  <si>
    <t xml:space="preserve">Welder must use provided appropriate welding parameters to avoid excessive heat input. </t>
  </si>
  <si>
    <t>25-058</t>
  </si>
  <si>
    <t>CAR 25-089</t>
  </si>
  <si>
    <t>Rear axle recieved at PMO missing the last 2 digits of the
       serial # and the revision #. Looks to have been ground off
       the start of the serial # reads 5072</t>
  </si>
  <si>
    <t xml:space="preserve">Use of the grinder must be according to the SOP. Do not grind off stamp, it is also important for customer.   </t>
  </si>
  <si>
    <t>25-059</t>
  </si>
  <si>
    <t>All Weldments</t>
  </si>
  <si>
    <t>Tack Weld Procedure was not followed by Welder on Fuel Tanks. It applies to all GDLS weldment parts.</t>
  </si>
  <si>
    <t>Tack weld parameters are specified in Section 9 of weld manual (10703626-F). All preheat and interpass temperatures for the weld joint must be followed when tack welding. Tack welds will preferably be 50mm long, spaced 250mm apart, and will be thoroughly clean and free of external impurities prior to incorporation into the final weld. Tack welds in excess of 3mm will be reduced to 3mm max. prior to incorporation into the final weld.</t>
  </si>
  <si>
    <t>25-060</t>
  </si>
  <si>
    <t>CAR 25-092</t>
  </si>
  <si>
    <t xml:space="preserve">During assembly at G&amp;D 58B3300400 mount str was found with 58B3300160 plate welded uside down causing holes to be off location. </t>
  </si>
  <si>
    <t>Part should be checked twice with the customer drawing  by welder after the tack welding .</t>
  </si>
  <si>
    <t>25-061</t>
  </si>
  <si>
    <t>Un-incorporated Weld</t>
  </si>
  <si>
    <t>CAR 25-094</t>
  </si>
  <si>
    <t xml:space="preserve">       58F0250571 MUFFLER A., EXHAUST arrived at PMO with a large weld bead inside of the tube causing fitment issues.
  </t>
  </si>
  <si>
    <t xml:space="preserve">Welder should weld the part as per given customer drawings and do not make own assumption. </t>
  </si>
  <si>
    <t>25-062</t>
  </si>
  <si>
    <t>CAR 25-095</t>
  </si>
  <si>
    <t xml:space="preserve">Part found in inventory with 58B5450041 installed 180 degrees off location. </t>
  </si>
  <si>
    <t xml:space="preserve">Part should be assembled according to customer drawing. Always verify  with drawing before to start assembly . </t>
  </si>
  <si>
    <t>25-063</t>
  </si>
  <si>
    <t>CAR 25-097</t>
  </si>
  <si>
    <t xml:space="preserve">       During assembly at G&amp;D XB3458 mounting str j/box was found welded to axle 180 degrees off location causing junction box door to hit lube injectors when opening</t>
  </si>
  <si>
    <t xml:space="preserve">Part should be welded according to customer drawing. Always verify  with drawing before to start final welding . </t>
  </si>
  <si>
    <t>25-064</t>
  </si>
  <si>
    <t>58E5408924 Cab G</t>
  </si>
  <si>
    <t>CAR 25-099</t>
  </si>
  <si>
    <t>calk covering welds,oil canning in front of driver seat   porosity.undercut all over.tie endsllack of fusion  next  to mounting plate</t>
  </si>
  <si>
    <t xml:space="preserve">Always use appropriate welding parameters and techniques. Operator must inspect his own work and fix it on the spot. Even single pin hole, single undercut,  weld barries, tiny lack of fusions are not acceptable any more.   Always follow  Komatsu QC 4.5 for weld quality. </t>
  </si>
  <si>
    <t>25-065</t>
  </si>
  <si>
    <t>CAR 25-100</t>
  </si>
  <si>
    <t xml:space="preserve">       During assembly at G&amp;D axle was found with rust in ports
       of 58B6010020 manifold. 58B6010020 print lists eng std
       4.93.003 which describes importance of cleanliness of hyd
       components.</t>
  </si>
  <si>
    <t xml:space="preserve">Please make sure threaded holes always protected from rust by applying rust inhibitor spray. If you see the rust already started then re-tap the holes and apply rust inhibitor spray. </t>
  </si>
  <si>
    <t>25-066</t>
  </si>
  <si>
    <t>CAR 25-102</t>
  </si>
  <si>
    <t xml:space="preserve">Grille Top 58B5463860 received at PMO with 2 inner 58B5464710 plate welded off location . Tabs should be measure 1016 mm apart but tabs measure approx 915 mm. Send part back. </t>
  </si>
  <si>
    <t xml:space="preserve">Measurements always should be verified again after tack welding process. Part should not be moved to next station without TWYN inspection. </t>
  </si>
  <si>
    <t>25-067</t>
  </si>
  <si>
    <t>58B5464630 Grille STR Top</t>
  </si>
  <si>
    <t>CAR 25-103</t>
  </si>
  <si>
    <t>bent plates are off location.
       should measure 50.8mm and actually approx 20mm
       send to ad</t>
  </si>
  <si>
    <t>25-068</t>
  </si>
  <si>
    <t>CAR 25-106</t>
  </si>
  <si>
    <t>Part has multiple areas of undercut , tie ins and profile issue</t>
  </si>
  <si>
    <t>All Komtasu part should be welded according to Komatsu QC 4.5 Weld Spec Summary. No weld defects are allowed.</t>
  </si>
  <si>
    <t>25-069</t>
  </si>
  <si>
    <t>Missing Componets</t>
  </si>
  <si>
    <t>CAR 25-109</t>
  </si>
  <si>
    <t xml:space="preserve">Cab recieved at PMO missing 9 MM0079 C/S and 1 58E-54-26601 Hyd connector plate.
       </t>
  </si>
  <si>
    <t>Parts presence must be verified with drawing after final welding. Kit must be verified before to use. TWYN and ITP checks must be performed after welding.</t>
  </si>
  <si>
    <t>25-070</t>
  </si>
  <si>
    <t>CAR 25-110</t>
  </si>
  <si>
    <t xml:space="preserve">       During assembly at G&amp;D axle was found with rust/shot/debris
       in ports of 58B6010020 manifold.58B6010020 print lists eng
       std 4.93.003 which describes importance of cleanliness of  hyd components. </t>
  </si>
  <si>
    <t xml:space="preserve">Please make sure threaded holes always protected from rust by proper covering. If you see the rust already started then re-tap the holes and clean them properly. </t>
  </si>
  <si>
    <t>25-071</t>
  </si>
  <si>
    <t xml:space="preserve">Customer </t>
  </si>
  <si>
    <t>X830003030 Cab G</t>
  </si>
  <si>
    <t>CAR 25-112</t>
  </si>
  <si>
    <t>Cab is missing 2 1.0mm holes to mount the XC0105 Plate
       STR switcher.</t>
  </si>
  <si>
    <t xml:space="preserve">Verify the part with the drawing before to weld. Do not use the other Cab's part. Those look same but not technically. </t>
  </si>
  <si>
    <t>25-072</t>
  </si>
  <si>
    <t>CAR 25-114</t>
  </si>
  <si>
    <t xml:space="preserve">       1 58E-54-18090 round bar off location.
       Bar should measure 10mm +\- 3mm from passenger side of plate. Bar actually measures approx 110mm.
      </t>
  </si>
  <si>
    <t>Measurements always should be verified again after tack welding process and read the tape measure intentionally.</t>
  </si>
  <si>
    <t>25-073</t>
  </si>
  <si>
    <t>Not aligned</t>
  </si>
  <si>
    <t>CAR-121</t>
  </si>
  <si>
    <t>During assembly at G&amp;D anti sway bar pin was found not
       moving through both bores of XB3497, bores appear to be not in line</t>
  </si>
  <si>
    <t>Bores should be checked with Pin Gauge after machining and sleeve installation for alignment and correct diameter for all different axles. Sign off the ITPs</t>
  </si>
  <si>
    <t>25-074</t>
  </si>
  <si>
    <t>EK2524 58B4604000 Tube Str</t>
  </si>
  <si>
    <t>Weld Seam Orientation</t>
  </si>
  <si>
    <t>ECN 25-020</t>
  </si>
  <si>
    <t>Weld Seam of EK2524 Tube to be at 3 c'oclock or 9 o'clock orientation</t>
  </si>
  <si>
    <t>Adam Shulman</t>
  </si>
  <si>
    <t>25-075</t>
  </si>
  <si>
    <t>10651546 Side Frame</t>
  </si>
  <si>
    <t>CAR 25-127</t>
  </si>
  <si>
    <t>Overlap / lack of fusion observed on tapped pads of the 10651546 side frame. Mainly present at tie-ins. Does not meet the AWS D1.3 acceptance criteria (8.1.1.2)</t>
  </si>
  <si>
    <t>Welder and QA will make sure that parts is defect free and meet the AWS D1.3 acceptance criteria.</t>
  </si>
  <si>
    <t>25-076</t>
  </si>
  <si>
    <t>58F2200054 Axle Housing , STR</t>
  </si>
  <si>
    <t>Paint Defect</t>
  </si>
  <si>
    <t>CAR 25-131</t>
  </si>
  <si>
    <t>Rear axle recieved at PMO with paint on the machined surfaces on the sides of the rear suspension mounts. per STD.4.36 Paint is not allowed on machined surfaces.</t>
  </si>
  <si>
    <t>Please make sure threaded holes and machined surfaces always protected from paint  by proper covering.</t>
  </si>
  <si>
    <t>25-077</t>
  </si>
  <si>
    <t>40078820 Frame ASM Weld</t>
  </si>
  <si>
    <t>0.19 inch Fillet Weld found oversize and causing interference issue with cover assembly. Weld size should be as per the print.</t>
  </si>
  <si>
    <t>Welders are responsible to make sure that weld size is correct and as per the print. Welders need to make sure that weld should not interfere with cover sheet.</t>
  </si>
  <si>
    <t>25-078</t>
  </si>
  <si>
    <t>CLAIM 2517675</t>
  </si>
  <si>
    <t>58B4611010 Block tapped pad was missing on the part.</t>
  </si>
  <si>
    <t>Welder and QA inspectors needs to make sure that all sub components are located on part as per the print. Use TWYN to find missing components and verify location if required.</t>
  </si>
  <si>
    <t>25-079</t>
  </si>
  <si>
    <t>All Types of Axles</t>
  </si>
  <si>
    <t xml:space="preserve">Paint on machined Surfaces </t>
  </si>
  <si>
    <t>CAR 25-139</t>
  </si>
  <si>
    <t>Customer found paint on the machined surfaces</t>
  </si>
  <si>
    <t>Please make sure machined surfaces always protected from paint by proper covering.</t>
  </si>
  <si>
    <t>25-080</t>
  </si>
  <si>
    <t>58E5423540 Plate, Diagnostic</t>
  </si>
  <si>
    <t>Wrong paint</t>
  </si>
  <si>
    <t>CAR25-141</t>
  </si>
  <si>
    <t>Plate recieved at PMO gloss black. Print calls the plate to be finished with flat black LW346-66</t>
  </si>
  <si>
    <t>Painters to check the work order to find out the right paint for the part. Refer the paint data master sheet in the paint kitchen
Supervisors/ lead hands: Train the painters if they don’t know to read work order</t>
  </si>
  <si>
    <t>25-081</t>
  </si>
  <si>
    <t>Rust in threaded hole</t>
  </si>
  <si>
    <t xml:space="preserve">Rust in the Junction box and D-ring threaded holes. </t>
  </si>
  <si>
    <t xml:space="preserve">Need to apply Nuto H32 in Juction box and Fluid Film in the D-ring threaded holes. </t>
  </si>
  <si>
    <t>25-082</t>
  </si>
  <si>
    <t>Weld/ Paint</t>
  </si>
  <si>
    <t>CAR25-145</t>
  </si>
  <si>
    <t>Beam A coner post has undercut on both back beams.Berries on driver seat.Missing weld outsde back,weld profile,Tie ends, undercut,lack of fusion,paint,mig wire stuch,Paint in thread</t>
  </si>
  <si>
    <t>Welders/Painters: When it’s a PPAP part please refer print multiple times to ensure all welds multpile times before and after welding, also ensure all areas gets proper paint coverage
QA's: Make sure all welds and paint conform with the customer standard</t>
  </si>
  <si>
    <t>25-083</t>
  </si>
  <si>
    <t>All Chassis</t>
  </si>
  <si>
    <t>Poor Paint adhesion</t>
  </si>
  <si>
    <t>CAR 25-147</t>
  </si>
  <si>
    <t>L1014+L978:L990+L978:L996+L1014+L978:L990+L978:L1003+L1014+L978:L990+L978:L1005+L1014+L978:L990+L978:M1005+L978:N10+L978:P1005</t>
  </si>
  <si>
    <t>Painters: Make sure the paint and hardener are mixed in the correct ratio(4:1)
QA's: Perform adhesion test on Midland parts going forward</t>
  </si>
  <si>
    <t>25-084</t>
  </si>
  <si>
    <t>Missing wire tie bar</t>
  </si>
  <si>
    <t>CAR 25-148</t>
  </si>
  <si>
    <t>Cab recieved at PMO missing the item #2, 58E5426280 bar
       round 3" x 5". for the main harnes to tie too.</t>
  </si>
  <si>
    <t>Welders: Ensure all tie bars are welded as per print
QA's: 100% inspection using Twyn to verify all Tie bars are present</t>
  </si>
  <si>
    <t>25-085</t>
  </si>
  <si>
    <t>Excess weld inside coupling</t>
  </si>
  <si>
    <t>CAR 25-149</t>
  </si>
  <si>
    <t>Excess weld was found on threads of TZ8544 special coupling inside axle. Fitting will not tighten as needed due to weld on threads.</t>
  </si>
  <si>
    <t xml:space="preserve">Always use appropriate welding parametes and protect threads from welding defects like burn thru and spatters. </t>
  </si>
  <si>
    <t>25-086</t>
  </si>
  <si>
    <t>CAR 25-150</t>
  </si>
  <si>
    <t>Weld bead inside of inlet causing fitment issues not allowing tube to fit inside the muffler inlet</t>
  </si>
  <si>
    <t>Welder Must weld to the customer spec and any excess or un-incorporated weld should be removed</t>
  </si>
  <si>
    <t>25-087</t>
  </si>
  <si>
    <t>CAR 25-157</t>
  </si>
  <si>
    <t xml:space="preserve">During assembly at G&amp;D shoulder bolt at left lower suspension pin was found not moving through holes as needed. Two holes are not in line. </t>
  </si>
  <si>
    <t>Need to check the hole alignment with pin after machining and sign off the ITP</t>
  </si>
  <si>
    <t>25-088</t>
  </si>
  <si>
    <t>21475257-001, Rear Fender Plate RH</t>
  </si>
  <si>
    <t>Material Defects</t>
  </si>
  <si>
    <t>Plasma/ Laser</t>
  </si>
  <si>
    <t>CAR 25-163</t>
  </si>
  <si>
    <t>Pitting(imperfection)of 1.83mm depth found on fender plate at customer. It violates the thickness of the plate.</t>
  </si>
  <si>
    <t>Verify parts for material defects such as pittings or cracks during production and inspection.</t>
  </si>
  <si>
    <t>25-089</t>
  </si>
  <si>
    <t>21457742 PA01, Front Tunnel Tacked Assy</t>
  </si>
  <si>
    <t>CAR 25-123</t>
  </si>
  <si>
    <t>Front tunnel doubler plate was welded in by 10mm out of location. Customer found 10mm differnec between PN 21461302-001 and PN 21457517-001 in front tunnel doubler.</t>
  </si>
  <si>
    <t>QA and welders needs to make sure that Dim 14mm and 20.4mm are within tolerance of +/-2mm until print gets updated.</t>
  </si>
  <si>
    <t>25-090</t>
  </si>
  <si>
    <t>CAR 25-164</t>
  </si>
  <si>
    <t xml:space="preserve">1 MM0577 weld nut was found   not centered in hole on 58E0605281 light bracket. 1 pc of PB5556 filter spin on hits on 58E2200050 rod panhard machining due to TZ8544 possibly welded too close to casting.
       </t>
  </si>
  <si>
    <t xml:space="preserve">Mating bolt need to be use to align the nut on the center and provided fixture to  locate the position of TZ8544. </t>
  </si>
  <si>
    <t>25-091</t>
  </si>
  <si>
    <t>58E2200234, Axle Housing</t>
  </si>
  <si>
    <t>Missing Hole</t>
  </si>
  <si>
    <t>CAR 25-167</t>
  </si>
  <si>
    <t xml:space="preserve">       During assembly at G&amp;D EM8618 blower pressure switch bracket was found missing 1 hole for blower press switch. See print EM8619 for note TYP 4 holes 7.14 mm diameter, this bracket has only 3 holes.</t>
  </si>
  <si>
    <t>Need to check the incoming parts from Supplier and verify before to weld.</t>
  </si>
  <si>
    <t>25-092</t>
  </si>
  <si>
    <t>Repair procedure</t>
  </si>
  <si>
    <t>Weld &amp; Paint</t>
  </si>
  <si>
    <t>CAR 25-169</t>
  </si>
  <si>
    <t xml:space="preserve">Marked up welding issues were not fully addressed. </t>
  </si>
  <si>
    <t>Moving Forward QA will mark the defect on the part, then Welders will circle the defect code after rework. QA will check the rework then put a tick mark if repair work is acceptable.
STEP 1.  Mark the Defect  (QA)
STEP 2.   Defect              (Welder)
STEP 3.  Defect                (QA)</t>
  </si>
  <si>
    <t>25-093</t>
  </si>
  <si>
    <t>All  Chassis</t>
  </si>
  <si>
    <t>CAR 25-174</t>
  </si>
  <si>
    <t>The drawing calls out the axle pad to be located 26-3/8" from the front surface of the main frame and customer found values  27-1/2", 26-3/16".</t>
  </si>
  <si>
    <t>Sibin SIva</t>
  </si>
  <si>
    <t>100% inspection for Dim 26-3/8" on both sides. Measured value must be written down in the ITP</t>
  </si>
  <si>
    <t>25-094</t>
  </si>
  <si>
    <t>58E22000234, Axle Housing</t>
  </si>
  <si>
    <t>Poor Welding</t>
  </si>
  <si>
    <t>CAR 25-177</t>
  </si>
  <si>
    <t>3 areas of porosity in welds found during weld audit of axle.</t>
  </si>
  <si>
    <t>25-095</t>
  </si>
  <si>
    <t>CAR 25-178</t>
  </si>
  <si>
    <t>During assembly at G&amp;D TX8110 sleeve was found to be
       interfering with installation of shoulder bolt for anti-sway
       bar pin. Hole in axle casting appears to be off location.
       Per print 58E2200050 hole should be 88.71+/-.25mm from edge,actual measurement is approx 83mm</t>
  </si>
  <si>
    <t xml:space="preserve">Measurements must be checked twice before to proceed for machining. </t>
  </si>
  <si>
    <t>25-096</t>
  </si>
  <si>
    <t>58F8051621, Panel A. STR RH</t>
  </si>
  <si>
    <t>Poorworkmanship</t>
  </si>
  <si>
    <t>CAR25-182</t>
  </si>
  <si>
    <t>Poor workmanship. Undercut, Lack of fsuion, over lap and paint damage</t>
  </si>
  <si>
    <t>100% inspection required for all the quantity of WO. Welders are responsible to make sure that workmanship meets QC4.5 weld criteria.</t>
  </si>
  <si>
    <t>25-097</t>
  </si>
  <si>
    <t>CAR 25-183</t>
  </si>
  <si>
    <t>During assembly at G&amp;D 2 pcs of 58B0203460 flanges were
       found welded to tank 180 degrees off location. See print
       58F0200651 item 2</t>
  </si>
  <si>
    <t xml:space="preserve">Part orientation must be cross checked with drawing before to weld. </t>
  </si>
  <si>
    <t>25-098</t>
  </si>
  <si>
    <t>EK1588 Tube STR</t>
  </si>
  <si>
    <t>CAR 25-181</t>
  </si>
  <si>
    <t>Tube Structure failed dimension inspection as per the print.</t>
  </si>
  <si>
    <t>Fixture worn out. It will be updated to meet the print requirement and will be validated.</t>
  </si>
  <si>
    <t>25-099</t>
  </si>
  <si>
    <t>LS1131707 Flange Tunnel, Front</t>
  </si>
  <si>
    <t>Production / Quality</t>
  </si>
  <si>
    <t>CAR 25-186</t>
  </si>
  <si>
    <t>Flange Tunnel found out of flatness. Flatness measured at 8mm.</t>
  </si>
  <si>
    <t>100% parts will be inspected by QA inspector for flatness after final weld.</t>
  </si>
  <si>
    <t>25-100</t>
  </si>
  <si>
    <t>Wrong side Weld</t>
  </si>
  <si>
    <t>CAR 25-192</t>
  </si>
  <si>
    <t xml:space="preserve">      One weld found on  wrong side of TZ4081 deflector plate, porosity found at
       weld top of nose cone. </t>
  </si>
  <si>
    <t>25-101</t>
  </si>
  <si>
    <t>58B5421001 Platform LH Deck</t>
  </si>
  <si>
    <t>CAR 25-189</t>
  </si>
  <si>
    <t>Left deck is not flat in the rear it is an inch and a quarter lower than the headache rack in the rear. flush with headache rack til about the rear of the rear cab mount</t>
  </si>
  <si>
    <t>Welders: Using Laser level make sure flatness is within spec after straightening.
QA's:Verify flatness checksheet to make sure the flatness on each location is within customer spec</t>
  </si>
  <si>
    <t>25-102</t>
  </si>
  <si>
    <t>Not Parellel</t>
  </si>
  <si>
    <t>CAR 25-203</t>
  </si>
  <si>
    <t>EL0850 MTG EAR WAS WELDED TO AXLE NOT PARALLEL TO EL0849 MTG EAR WHICH CAUSE HATCH STR TO NOT FIT.</t>
  </si>
  <si>
    <t>Ears should be welded with the help of fixture.</t>
  </si>
  <si>
    <t>25-103</t>
  </si>
  <si>
    <t>All Midland Chassis</t>
  </si>
  <si>
    <t>Missing Stamping &amp; dead bolt keys</t>
  </si>
  <si>
    <t>Weld &amp; Stamping</t>
  </si>
  <si>
    <t>Center decks  are missing the keys that go to dead bolt M5073 (Item 11 on SP-052 and SP-3135). Parts are not stamped for traceability</t>
  </si>
  <si>
    <t>Operator must ensure that the incoming part has dead bolt keys attached to it and it must be kept with the part  all thetime.
All parts must be stamped before paint at the location shown in the picture.
Do not paint the key hole area
QA's; Make sure the key hole area has no paint and the lock has keys with it. Ensure the keys work properly and save pictures of stamp code and keys</t>
  </si>
  <si>
    <t>25-104</t>
  </si>
  <si>
    <t>58B8040213 Control Box</t>
  </si>
  <si>
    <t>Damaged rod and Seat welded off location</t>
  </si>
  <si>
    <t>CAR 25-210</t>
  </si>
  <si>
    <t>1 Control box got rejected for a bent on XB6268 rod and cracked weld 
Another 1 got rjected for welding 0157100814 seat offlocation. Print lists dimension of 173.00+/-.25mm between seats, actual measurment is 163mm &amp; 183mm</t>
  </si>
  <si>
    <t>Upon recieval, all outsourced parts MUST be inspected for welds and verified using Twyn for off location and missing components before sending to wash/paint.</t>
  </si>
  <si>
    <t>25-105</t>
  </si>
  <si>
    <t>Machined Axle Movement</t>
  </si>
  <si>
    <t>Damage to machined surface</t>
  </si>
  <si>
    <t>Materal handling</t>
  </si>
  <si>
    <t xml:space="preserve">Axles are being moved throug the plant using chains causing damage to the machined surfaces. </t>
  </si>
  <si>
    <t>John Kavanagh</t>
  </si>
  <si>
    <t>Use protective straps when using the Versa boom lift truck or use the Versa lift truck that has forks</t>
  </si>
  <si>
    <t>25-106</t>
  </si>
  <si>
    <t>Welded opposite side</t>
  </si>
  <si>
    <t>25-212</t>
  </si>
  <si>
    <t>1 pc of MM0082 bolt was found welded
       to wrong side of 58E0605281 light bracket</t>
  </si>
  <si>
    <t>Part should be welded as per customer drawing and TWYN inspection must be performed properly.</t>
  </si>
  <si>
    <t>25-107</t>
  </si>
  <si>
    <t>CAR 25-213</t>
  </si>
  <si>
    <t>Peening not being completed in designated areas.</t>
  </si>
  <si>
    <t xml:space="preserve">Peening Operation must be completed as per customer drawing. </t>
  </si>
  <si>
    <t>25-108</t>
  </si>
  <si>
    <t>CAR 25-217</t>
  </si>
  <si>
    <t>The holes for lower suspension pin shoulder
       bolts were found to be not in line. Shoulder bolts for both
       left and right side will not move through holes/pins</t>
  </si>
  <si>
    <t>Pin check operation must be performed after machining.</t>
  </si>
  <si>
    <t>25-109</t>
  </si>
  <si>
    <t>58E5452500 Platform RH Deck Str.</t>
  </si>
  <si>
    <t>CAR 25-215</t>
  </si>
  <si>
    <t>1 pc of MM0073 stud and 1 pc of 0819321012 clip were found welded to deck at wrong locations per print. Clip and stud are switched positions.</t>
  </si>
  <si>
    <t xml:space="preserve">
Welders: While marking on ITP's, make sure parts are in the right location as well
QA's: Perform Twyn through the I-pad to make sure all parts are aligned properly, then confirm without the I-pad to verify the parts are physically present and it’s the right part. </t>
  </si>
  <si>
    <t>25-110</t>
  </si>
  <si>
    <t>10663474 Module</t>
  </si>
  <si>
    <t>Poor workmanship</t>
  </si>
  <si>
    <t>CAR 25-214</t>
  </si>
  <si>
    <t>Rough side from weld</t>
  </si>
  <si>
    <t>Welders needs to make sure that weld parameters are as per WPS and Weld inspector will assure that ther is no damage on edges due to weld.</t>
  </si>
  <si>
    <t>25-111</t>
  </si>
  <si>
    <t>21470045 / 21470044 / 21470206 Plate, Rear Tunnel</t>
  </si>
  <si>
    <t>CAR 25-205 / 25-206 / 25-207</t>
  </si>
  <si>
    <t>2U0mm profile to ABC actually measures out of specification</t>
  </si>
  <si>
    <t>QA will ensure the entire datum surface is inspected and additional points are measured on profile surfaces.</t>
  </si>
  <si>
    <t>25-112</t>
  </si>
  <si>
    <t>Weld nut not centered</t>
  </si>
  <si>
    <t>CAR 25-218</t>
  </si>
  <si>
    <t>10mm weld nut not centered in for cab corner cover.</t>
  </si>
  <si>
    <t>Appropriate mating bolts MUST be used to weld and ensure the weld nut is properly centered to the hole.</t>
  </si>
  <si>
    <t>25-113</t>
  </si>
  <si>
    <t>58F2200054, Axle Housing</t>
  </si>
  <si>
    <t>CAR 25-221</t>
  </si>
  <si>
    <t xml:space="preserve"> wrong stud was found welded to top of nose cone portion of axle. Print list MM0064 45 mm long at this location, stud is 25 mm long.</t>
  </si>
  <si>
    <t xml:space="preserve">Cross check with drawing, stud report, Kit and TWYN before to fully Weld. </t>
  </si>
  <si>
    <t>25-114</t>
  </si>
  <si>
    <t>All Midland parts</t>
  </si>
  <si>
    <t>CAR 25-224</t>
  </si>
  <si>
    <t xml:space="preserve">Customer found paint topcoat is very thin and possibly has bad adhesion. Simple painters' tape that was applied for only 30-45min was removing paint. </t>
  </si>
  <si>
    <r>
      <t xml:space="preserve">Painters: Make sure the paint and hardener are mixed in the correct ratio(4:1)
All painters </t>
    </r>
    <r>
      <rPr>
        <b/>
        <sz val="11"/>
        <color theme="1"/>
        <rFont val="Calibri"/>
        <family val="2"/>
        <scheme val="minor"/>
      </rPr>
      <t>MUST</t>
    </r>
    <r>
      <rPr>
        <sz val="11"/>
        <color theme="1"/>
        <rFont val="Calibri"/>
        <family val="2"/>
        <scheme val="minor"/>
      </rPr>
      <t xml:space="preserve"> use Wet film thickness gauge to check the mill thickness
QA's: Perform adhesion test/scratch test on all Midland parts going forward. Record the results. We need to submit this to the customer along with the mill thickness report</t>
    </r>
  </si>
  <si>
    <t>25-115</t>
  </si>
  <si>
    <t>Customer/In-hosue</t>
  </si>
  <si>
    <t>All Axle assemblies</t>
  </si>
  <si>
    <t>Plate clamp lifting marks</t>
  </si>
  <si>
    <t>Customer is seeing plate clamp marks. These must be repaired with weld and blended smooth</t>
  </si>
  <si>
    <t>John K</t>
  </si>
  <si>
    <t>It is recommended that after using the plate clamp that the markings be repaired with weld. This needs to happen before moving from the weld area so they are not missed later.</t>
  </si>
  <si>
    <t>25-116</t>
  </si>
  <si>
    <t>58B4601802 Support Str</t>
  </si>
  <si>
    <t>Process change</t>
  </si>
  <si>
    <t>Customer requested to extend the masking 1" more to specific areas</t>
  </si>
  <si>
    <t>During the masking process, 
ADD 1" MORE MASKING BEFORE PRIMER  at the Locations shown below</t>
  </si>
  <si>
    <t>25-117</t>
  </si>
  <si>
    <t>58F2200054/55 Axle Housing</t>
  </si>
  <si>
    <t>Poor Weds</t>
  </si>
  <si>
    <t>CAR-232</t>
  </si>
  <si>
    <t>Not wrapped, Overlap, Under Cut , LOF</t>
  </si>
  <si>
    <t xml:space="preserve">This weld suppose to be welded as per customer drawing. Fully wrapped and defect free. </t>
  </si>
  <si>
    <t>25-118</t>
  </si>
  <si>
    <t xml:space="preserve">X830027784 Cab </t>
  </si>
  <si>
    <t>CAR-237,CAR-238</t>
  </si>
  <si>
    <t>Customer found cabs with Missing tie bar, Front Trim plate(58E5427080) and screws</t>
  </si>
  <si>
    <r>
      <t xml:space="preserve">
Welders: If you are provided with a kit, it is welders responsibility to verify the parts and quantity to match the work order. </t>
    </r>
    <r>
      <rPr>
        <b/>
        <sz val="11"/>
        <color theme="1"/>
        <rFont val="Calibri"/>
        <family val="2"/>
        <scheme val="minor"/>
      </rPr>
      <t xml:space="preserve">DO NOT </t>
    </r>
    <r>
      <rPr>
        <sz val="11"/>
        <color theme="1"/>
        <rFont val="Calibri"/>
        <family val="2"/>
        <scheme val="minor"/>
      </rPr>
      <t xml:space="preserve">take any components outside the kit. Once you finish your welding if you find any remaining part on the kit, that means you have missed one part. Double check with the print or ask help from QA to figure out where you missed. 
QA's: Perform Twyn through the I-pad to make sure all parts are aligned properly, then confirm without the I-pad to verify the parts are physically present and it’s the right part. </t>
    </r>
  </si>
  <si>
    <t>25-119</t>
  </si>
  <si>
    <t>All decks and cabs</t>
  </si>
  <si>
    <t>CAR-242, CAR-243</t>
  </si>
  <si>
    <t>Customer keeps getting decks with weld nut not centered to the hole 
This is the 9th rejection in last 4 months for this same issue</t>
  </si>
  <si>
    <r>
      <t xml:space="preserve">This has become a serious issue now as we get more rejections from customer for welding the nut off centered to the hole.
This needs most attention from welders, lead hands and QA
Before and after welding each nuts on the hole, appropriate mating bolts </t>
    </r>
    <r>
      <rPr>
        <b/>
        <sz val="11"/>
        <color theme="1"/>
        <rFont val="Calibri"/>
        <family val="2"/>
        <scheme val="minor"/>
      </rPr>
      <t xml:space="preserve">MUST </t>
    </r>
    <r>
      <rPr>
        <sz val="11"/>
        <color theme="1"/>
        <rFont val="Calibri"/>
        <family val="2"/>
        <scheme val="minor"/>
      </rPr>
      <t>be  used to verify the weld nut is properly centered to the hole.
 Updated ITP's with an added check to verify all the weld nuts are centered to hole. Welder MUST verify and sign off this section on the sheet</t>
    </r>
  </si>
  <si>
    <t>25-120</t>
  </si>
  <si>
    <t>58F8051001 Support A., Hanging</t>
  </si>
  <si>
    <t>CAR 25-244</t>
  </si>
  <si>
    <t>Part found with damaged paint,has undercut on coner of a block &amp; spatters.</t>
  </si>
  <si>
    <t>Aug-29-2025</t>
  </si>
  <si>
    <t>Welders and Inspector needs to follow KOMATSU QC4.5. No spatter or undercut allowed.</t>
  </si>
  <si>
    <t>25-121</t>
  </si>
  <si>
    <t xml:space="preserve">CAR </t>
  </si>
  <si>
    <t>Tack welds around the backer bar were not removed.</t>
  </si>
  <si>
    <t>Tack welds around the backer bar need to be removed as per the customer email.</t>
  </si>
  <si>
    <t>25-122</t>
  </si>
  <si>
    <t>CAR 25-189, 25-250</t>
  </si>
  <si>
    <t>Deck recieved at Komatsu  is not flat. The deck sits 42mm below
       the headache rack at the rear of the truck</t>
  </si>
  <si>
    <t>25-123</t>
  </si>
  <si>
    <t>Out of line</t>
  </si>
  <si>
    <t>CAR-252</t>
  </si>
  <si>
    <t>During assembly at G&amp;D right lower suspension pin will not
       move through both TX8110 sleeves as needed. TX8110 possibly
       not in line or not driven in straight</t>
  </si>
  <si>
    <t xml:space="preserve">Bores should be checked with Pin Gauge after machining and sleeves installation for alignment and correct diameter. </t>
  </si>
  <si>
    <t>25-124</t>
  </si>
  <si>
    <t>CAR 25-253</t>
  </si>
  <si>
    <t>Customer found the Bottom bracket on the tank is not flat.  When lower tank mount is mounted flush, opposite side of top of def tank mount is approx 1" from fuel tank. Def tank appears to be warped</t>
  </si>
  <si>
    <t>Make sure the faces of both top and bottom brackets are flat and the distance between the faces of both brackets are within 1 mm</t>
  </si>
  <si>
    <t>25-125</t>
  </si>
  <si>
    <t>58B5463921 Grille, STR, LH</t>
  </si>
  <si>
    <t>Weld / Prosuction</t>
  </si>
  <si>
    <t>CAR 25-254</t>
  </si>
  <si>
    <t>The weld nuts on the 58B5463900 sheet assy are 10mm weld nuts they are supposed to be 12mm . the sheet assy is part of the 58B5463921 Grill Str, LH. Ther is no vender code found on part.</t>
  </si>
  <si>
    <t>1. Welder and Inspector needs to make sure nuts or bolts are used as per print ont top level as well sub weldmnent. Thread check at F/O (Use the M10 bolt for reference, and for long-term use, the thread gauge 2.Designated Boxes for M10 and M12 nuts with a proper label on the welding cell</t>
  </si>
  <si>
    <t>25-126</t>
  </si>
  <si>
    <t>58E5453291 Platform Center Deck</t>
  </si>
  <si>
    <t>CAR 25-255</t>
  </si>
  <si>
    <t>Wrong weld nuts used. M10 nuts were used instead of M12 nuts.</t>
  </si>
  <si>
    <t>Material Handlers : Make sure you take the right part as per work order. Always double check to ensure the part is correct.
Welders: Verify all parts provided are correct as per work order before using them. If weld nuts are provided they MUST be checked with appropriate bolts
QA's: Check the weld nuts in random to make sure they match the print.</t>
  </si>
  <si>
    <t>25-127</t>
  </si>
  <si>
    <t>58E5454100 Cabinet</t>
  </si>
  <si>
    <t>CAR 25-257</t>
  </si>
  <si>
    <t>The two item #36 TY7903 angle are welded off location. 
160mm dimension is not kept, They measure 150mm.</t>
  </si>
  <si>
    <r>
      <t xml:space="preserve">Welders: Please re-verify the measurements to print after weld
All parts </t>
    </r>
    <r>
      <rPr>
        <b/>
        <sz val="11"/>
        <color theme="1"/>
        <rFont val="Calibri"/>
        <family val="2"/>
        <scheme val="minor"/>
      </rPr>
      <t>MUST</t>
    </r>
    <r>
      <rPr>
        <sz val="11"/>
        <color theme="1"/>
        <rFont val="Calibri"/>
        <family val="2"/>
        <scheme val="minor"/>
      </rPr>
      <t xml:space="preserve"> pass Twyn inspection before it gets washed.</t>
    </r>
  </si>
  <si>
    <t>25-128</t>
  </si>
  <si>
    <t>58F-80-40330 Grille STR</t>
  </si>
  <si>
    <t>Welds Defects</t>
  </si>
  <si>
    <t>CAR 25-260</t>
  </si>
  <si>
    <t>Tack welds left on light pockets/poor welds/spatter</t>
  </si>
  <si>
    <t>Usmah Khalid</t>
  </si>
  <si>
    <t>Welders needs to ensure that they are following the KOMATSU QC 4.5 and inspecting the part accordingly. QA will inspect the part for weld defect after TWYN inspection.</t>
  </si>
  <si>
    <t>25-129</t>
  </si>
  <si>
    <t>X830027784 cab Doors</t>
  </si>
  <si>
    <t>Wrong Component used</t>
  </si>
  <si>
    <t>Right and left door assemlies require separate wire harnesses for the power window motors.</t>
  </si>
  <si>
    <t xml:space="preserve">Assemblers being trained on correct harnesses being used/Quality Alert Issued </t>
  </si>
  <si>
    <t>25-130</t>
  </si>
  <si>
    <t>Uprights and all Komatsu parts</t>
  </si>
  <si>
    <t xml:space="preserve">A thick coating of rust and an upright with a tube found painted.  The paint and rust should be removed before assembly. </t>
  </si>
  <si>
    <t>Welders need to make sure that they are following Komatsu's manual for operating procedure and AWS D1.1. Parts should be free of moisture, loose or thick scale, slag, grease or other foreign particle before welding.</t>
  </si>
  <si>
    <t>25-131</t>
  </si>
  <si>
    <t xml:space="preserve"> Quality Alert</t>
  </si>
  <si>
    <t xml:space="preserve">58B22000813 Axle </t>
  </si>
  <si>
    <t>Damage</t>
  </si>
  <si>
    <t>CAR 25-271</t>
  </si>
  <si>
    <t>Axle's Junction box was found with damage to                        
    58B6010020 manifold. Inside nose cone section of axle 1 port                
    has been hit causing port to be out of round and damage to                  
    o-ring surface.</t>
  </si>
  <si>
    <t>This is a machined part it should not be hit with any heavy object. Please make sure there should not be any damage on the part before and after the weld.</t>
  </si>
  <si>
    <t>25-132</t>
  </si>
  <si>
    <t>Wrong part</t>
  </si>
  <si>
    <t>CAR 25-275</t>
  </si>
  <si>
    <t>Stud MM0650 35 mm long, actual stud is 25 mm long.</t>
  </si>
  <si>
    <t xml:space="preserve">Studs should be varified with stud report and drawing before to final weld them. </t>
  </si>
  <si>
    <t>25-133</t>
  </si>
  <si>
    <t>CAR 25-276</t>
  </si>
  <si>
    <t>Threaded area of the block should face UP, but its facing down</t>
  </si>
  <si>
    <t>The threaded area is only halfway deep. Threaded area should face up. Added this check to the ITP</t>
  </si>
  <si>
    <t>25-134</t>
  </si>
  <si>
    <t xml:space="preserve"> SM-0190</t>
  </si>
  <si>
    <t>Rusted parts</t>
  </si>
  <si>
    <t>Parts arrived at customer rusted</t>
  </si>
  <si>
    <t>Parts must be relocated to prevent rust/when raw material arrives from supplier they need to be stored in VCI bags to help prevent rust. 5 per bag and once a bag is opened those pieces cannot be shipped bare metal.</t>
  </si>
  <si>
    <t>25-135</t>
  </si>
  <si>
    <t>58E4600711 Tube, Structure</t>
  </si>
  <si>
    <t>Weld / Quality</t>
  </si>
  <si>
    <t>CAR 25-287</t>
  </si>
  <si>
    <t>Part is not to the print. Vendore id and serial number is missing. Dim 1291.5mm (1066.5+225.0) measured at1299mm O/S. 90' found out of specification (58E-46-20460 &amp;EB9969)</t>
  </si>
  <si>
    <t>New Poke-Yoke technique based fixture design. 100% TWYN inspection and manual measurment as required. Re-train the inspector and operator as required</t>
  </si>
  <si>
    <t>25-136</t>
  </si>
  <si>
    <t>58E2200054 Axle Housing</t>
  </si>
  <si>
    <t>CAR 25-289</t>
  </si>
  <si>
    <t>2 bolts at end of light bracket will
       not thread into weld nuts.</t>
  </si>
  <si>
    <t>Alignment bolt must be used to weld the nuts</t>
  </si>
  <si>
    <t>25-137</t>
  </si>
  <si>
    <t>CAR 25-290</t>
  </si>
  <si>
    <t>4 MM0648 studs were found too short for WB3917 coupling nuts. MM0648 should  measure 25 mm length. These 4 pcs were found to be 20 mm length.</t>
  </si>
  <si>
    <t>Kit should be verified with drawing before to use.</t>
  </si>
  <si>
    <t>25-138</t>
  </si>
  <si>
    <t>We’d</t>
  </si>
  <si>
    <t>CAR 25-292</t>
  </si>
  <si>
    <t>3/8 weld nut on bottom of cabinet is welded on an an angle which is not allowing manifold to be installed</t>
  </si>
  <si>
    <t>Welders MUST check all nuts after welding, to ensure they are not placed in an angle</t>
  </si>
  <si>
    <t>25-139</t>
  </si>
  <si>
    <t>58B2200813  Axle Housing, STR</t>
  </si>
  <si>
    <t>Holes are not in line</t>
  </si>
  <si>
    <t>CAR 25-293</t>
  </si>
  <si>
    <t xml:space="preserve">During assembly at G&amp;D pin for anti-sway bar was found not moving through both TX8110 sleeves, sleeves are not in line. </t>
  </si>
  <si>
    <t>Pin Check Must be performed after sleeve installation  and sign off the ITP.</t>
  </si>
  <si>
    <t>25-140</t>
  </si>
  <si>
    <t>All Cabs &amp; Axles</t>
  </si>
  <si>
    <t>CAR 25-285,
CAR 25-294</t>
  </si>
  <si>
    <t>Undercut, Berries, Lack of Fusion, Sharp edges, Pin holes, Base metal, Weld over tacks</t>
  </si>
  <si>
    <t xml:space="preserve">Going forward on all Cabs &amp; Axles there will be multiple audits, 
1. All welds must be 100% inspected and signed off  by     welder 
2. After the fix, 100% inspection by lead hand/QA </t>
  </si>
  <si>
    <t>25-141</t>
  </si>
  <si>
    <t xml:space="preserve">Damage </t>
  </si>
  <si>
    <t>CAR 25-299</t>
  </si>
  <si>
    <t>1 pc of MM0073 and 1 pc of MM0082 were found broken off of deck, an additional MM0073 was found bent hitting on white plastic on stand, deck is still banded to transport stand.</t>
  </si>
  <si>
    <t>Shippers must ensure that parts are packaged/strapped properly. There should be no movement within the stand during transit. Make sure nuts and studs are not hitting the parts of shipping stand.</t>
  </si>
  <si>
    <t>25-142</t>
  </si>
  <si>
    <t>CAR 25-300</t>
  </si>
  <si>
    <t>Brake cabinet 58F5454401 recieved at PMO with the latch keeper pin not properly set.</t>
  </si>
  <si>
    <t>Operator must check latches to make sure pins are properly inserted
QA's to take pictures of latches and save them in the shipping folder where they usually save all shipping pictures</t>
  </si>
  <si>
    <t>25-143</t>
  </si>
  <si>
    <t>Missing welds</t>
  </si>
  <si>
    <t>CAR 25-315</t>
  </si>
  <si>
    <t>Customer found multiple occurrences of a significant amount of water contained in main support tubes on 58F5415103 &amp; 58F5411401 decks</t>
  </si>
  <si>
    <t>All welds on top surface of the deck must be ground flushed
Different decks have different call out  on print for welding tubes. Make sure to check the weld callout on the print before you weld
After frame weld, all decks must be verified and signed off by QA/Lead hand before it gets moved to skinning.</t>
  </si>
  <si>
    <t>25-144</t>
  </si>
  <si>
    <t>58B2200813 Axle Housing</t>
  </si>
  <si>
    <t>Panhard wlded off location</t>
  </si>
  <si>
    <t>The Panhard and all its hardware are off location by 15 mm. The 391 mm dimension from the centre is not to print.</t>
  </si>
  <si>
    <t>Panhard location must be verified twice before to fully weld.</t>
  </si>
  <si>
    <t>25-145</t>
  </si>
  <si>
    <t>58B5463861</t>
  </si>
  <si>
    <t>Grille Str Top</t>
  </si>
  <si>
    <t>CAR 25-328</t>
  </si>
  <si>
    <t>8 HOLES ON 58B5463861 GRILLE, STR, TOP HAVE EM3346 SPACERS WELDED CENTERED OVER HOLES. PRINT CALLS FOR A 2.5MM WELD ON SIDE. MANUFATURE DIDNT KEEP THESE WELDS WITHIN THE SPECS OF PRINT CALL OUT. THERE ARE ALSO WELD SPLATTER IN THESE HOLES NOT ALLOWING HARDWARE TO PASS THROUGH.</t>
  </si>
  <si>
    <t>All supplier Grille parts should be inspected upon receival. Part must be free of spatter, weld should not interrupt the size of the spacer hole. Make sure to follow the print for all weld and dimensional.</t>
  </si>
  <si>
    <t>25-146</t>
  </si>
  <si>
    <t>58F0350001</t>
  </si>
  <si>
    <t>Grille Str.</t>
  </si>
  <si>
    <t>CAR 25-329</t>
  </si>
  <si>
    <t xml:space="preserve">Item 58F5430431 off location, should measure 320.3mm from top of grille screen opening and it is actually approx 300mm   </t>
  </si>
  <si>
    <r>
      <t xml:space="preserve">Welders:Make sure that the  320.3 dimension is held. Also ensure all other brackets are welded to print spec
QA's: While doing Twyn, make sure to keep a minimum distance from the part and use </t>
    </r>
    <r>
      <rPr>
        <b/>
        <sz val="11"/>
        <color theme="1"/>
        <rFont val="Calibri"/>
        <family val="2"/>
        <scheme val="minor"/>
      </rPr>
      <t>ZOOM</t>
    </r>
    <r>
      <rPr>
        <sz val="11"/>
        <color theme="1"/>
        <rFont val="Calibri"/>
        <family val="2"/>
        <scheme val="minor"/>
      </rPr>
      <t xml:space="preserve"> option to check for off location
Moving closer to part is good for finding missing components, but that will not help much for offlocation </t>
    </r>
  </si>
  <si>
    <t>25-147</t>
  </si>
  <si>
    <t>CAR 25-323</t>
  </si>
  <si>
    <t>No ID found on the part. It has pinholes, spatters, undercut and overgrinding. Ther is no weld over tacks.</t>
  </si>
  <si>
    <t>100% Inspection required by welder and inspector. No spatter allowed. Welders need to follow Komatsu weld spec 4.5</t>
  </si>
  <si>
    <t>25-148</t>
  </si>
  <si>
    <t xml:space="preserve">58B0207300 Tank </t>
  </si>
  <si>
    <t>CAR 25-331, 
CAR 25-332</t>
  </si>
  <si>
    <t>During assembly at G&amp;D def tank was found with 4 clips 0819321012 welded to 58B05207350 180 degrees off location clips are facing the wrong direction</t>
  </si>
  <si>
    <t>Always check and verify that the orientation conforms with the print
QA's: Make sure to check and sign off the next 5 tanks conforming the clip orintation are as per print</t>
  </si>
  <si>
    <t>25-149</t>
  </si>
  <si>
    <t>Weld Defects</t>
  </si>
  <si>
    <t>CAR 25-310, CAR 25-325,
CAR 25-327,CAR 25-334</t>
  </si>
  <si>
    <t>Welds on Cab does not meet customer standards and we received many rejections including 4 PPAP rejection</t>
  </si>
  <si>
    <t>All Welders &amp; QA to use ITP-KOM-006 Check sheet for all Cabs moving forward. Older T4 Cab Frame is Obsolete and od not use it anymore. 
Operator has the prime accountability on all welds. After welding, welder MUST acknowledge that the weld meets QC 4.5 and sign off.
QA and Lead hand to inspect and approve prior to releasing to the next stage</t>
  </si>
  <si>
    <t>25-150</t>
  </si>
  <si>
    <t>58D2280003 Axle Housing</t>
  </si>
  <si>
    <t>CAR 25-335</t>
  </si>
  <si>
    <t>During assembly at G&amp;D axle was found missing 2 pcs of MM0082 bolts and 1 pc of 58E0605310 plate. Parts should be  welded to bracket per print 58D0601921.</t>
  </si>
  <si>
    <t>Sub-assemblies must be verified with drawing before to release to the production floor.</t>
  </si>
  <si>
    <t>25-151</t>
  </si>
  <si>
    <t>Improvement</t>
  </si>
  <si>
    <t>Welds on Axle does not meet customer standards QC 4.5 and we received many rejections including PPAP rejection.</t>
  </si>
  <si>
    <t>All Welders &amp; QA must use Updated ITP-KOM-001, ITP-KOM-002, ITP-KOM-003. Theese axle ITPs have been updated to align with the new line process.
Operator has the prime accountability on all welds. After welding, welder MUST acknowledge that the weld meets QC 4.5 and sign off.
QA and Lead hand to inspect and approve prior to releasing to the next stage</t>
  </si>
  <si>
    <t>25-152</t>
  </si>
  <si>
    <t>58B0207300</t>
  </si>
  <si>
    <t>Orientation of part</t>
  </si>
  <si>
    <t xml:space="preserve">Item #1 (58F0200740 flange) is not oriented according to drawing specification. </t>
  </si>
  <si>
    <t>Operator to vaildate part matches drawing call out and have QA validate before flange. QA validation on next 5 tanks built</t>
  </si>
  <si>
    <t>25-153</t>
  </si>
  <si>
    <t>2025-13-13</t>
  </si>
  <si>
    <t>All Axles Housing</t>
  </si>
  <si>
    <t>The rear case bushing are not pressed all the way in, causing issues installing rear suspension and potential damage to spacers or rear suspension.</t>
  </si>
  <si>
    <t>The bushing must be installed properly and pressed all the way in using the appropriate means of force.</t>
  </si>
  <si>
    <t>25-154</t>
  </si>
  <si>
    <t>X830003110 Cab</t>
  </si>
  <si>
    <t>CAR 25-341</t>
  </si>
  <si>
    <t>SM0853 Closure structure is welded on cab 180 degrees out, causing EL3496 plate to not fit properly</t>
  </si>
  <si>
    <t>The part was formed wrong. Issued Supplier NCR.
Engineering is working on a fixture. Make sure the orientation is coorect to the drawing until the fixture gets implemented
QA to make sure this part is checked thoroughly during Twyn inspection</t>
  </si>
  <si>
    <t>25-155</t>
  </si>
  <si>
    <t>40240854</t>
  </si>
  <si>
    <t>Weld Workmanship</t>
  </si>
  <si>
    <t>End housing had weld issues involving a lack of fusiuon, porosity, and undercut weld beads.  Defects made more visible after paint.</t>
  </si>
  <si>
    <t>Stephanie Berry</t>
  </si>
  <si>
    <t>Inspect welds to ensure proper workmanship, with no lack of fusion, porosity or undercutting of welds.  If you are not sure please ask your supervisor or weld inspector for clarification</t>
  </si>
  <si>
    <t>25-156</t>
  </si>
  <si>
    <t>58B0207003 Tank</t>
  </si>
  <si>
    <t>CAR 25-342</t>
  </si>
  <si>
    <t>Wrong clips were found welded to 58B0207300 def tank. 4 pcs of clips should be 0819321012 dt clips. Actual parts appear to be 0819331012.</t>
  </si>
  <si>
    <t>25-157</t>
  </si>
  <si>
    <t>Koamtsu</t>
  </si>
  <si>
    <t>All Grille Structures</t>
  </si>
  <si>
    <t xml:space="preserve">Excessive spatter in multiple aears of grille </t>
  </si>
  <si>
    <t>Multiple areas of grille have excessive amounts of spatter that should be removed before leaving the weld process.</t>
  </si>
  <si>
    <t>25-158</t>
  </si>
  <si>
    <t>Tier 4 cabs</t>
  </si>
  <si>
    <t>CAR 25-346</t>
  </si>
  <si>
    <t xml:space="preserve">BOTH ITEMS # 6 58E5410672 BRACKET, TRIM RR ARE OFF LOCATION. THE 385MM DIM IS NOT KEPT. THEY BOTH MEASURE APPROX 375MM. THE BACK PANELS WILL NOT MOUNT </t>
  </si>
  <si>
    <r>
      <t xml:space="preserve">Cab ITP updated with fixture 180021 information.
Welder </t>
    </r>
    <r>
      <rPr>
        <b/>
        <sz val="11"/>
        <color theme="1"/>
        <rFont val="Calibri"/>
        <family val="2"/>
        <scheme val="minor"/>
      </rPr>
      <t xml:space="preserve">MUST </t>
    </r>
    <r>
      <rPr>
        <sz val="11"/>
        <color theme="1"/>
        <rFont val="Calibri"/>
        <family val="2"/>
        <scheme val="minor"/>
      </rPr>
      <t>sign off acknowledging that they used the fixture 180021 when welding the brackets and boss</t>
    </r>
  </si>
  <si>
    <t>25-159</t>
  </si>
  <si>
    <t>58B4604021 Uprught A., LH STR</t>
  </si>
  <si>
    <t>CAR 25-348</t>
  </si>
  <si>
    <t>Item 58B4604021 came in with all 4X EB9969 blocks off loction.</t>
  </si>
  <si>
    <t>Verified the fixture. Quality alert has been issued.Part was not measured properly using the TWYN so re-training required for welders and QA.</t>
  </si>
  <si>
    <t>25-160</t>
  </si>
  <si>
    <t>58E5452500 Platform, RH Deck</t>
  </si>
  <si>
    <t>Missing  stud</t>
  </si>
  <si>
    <t>CAR 25-350</t>
  </si>
  <si>
    <t>During assembly at G&amp;D deck was found missing 1 pc of MM0073 stud for harness routing.</t>
  </si>
  <si>
    <t xml:space="preserve">Welders: It is welders responsibility to physically check  and make sure all the studs and nuts are present on the part as per the ITP. Do not Assume.
QA's: Perform Twyn through the I-pad to make sure all parts are aligned properly, then confirm without the
 I-pad to verify the parts are physically present and it’s the right part. </t>
  </si>
  <si>
    <t>25-161</t>
  </si>
  <si>
    <t>CAR 25-352</t>
  </si>
  <si>
    <t xml:space="preserve"> El0849 should be top ear, is welded on bottom, EL0850 should be bottom ear, is welded to top.</t>
  </si>
  <si>
    <t>Please use the fixtures to weld the parts (EL0849 &amp; EL0850 ) and verify with drawing.</t>
  </si>
  <si>
    <t>25-162</t>
  </si>
  <si>
    <t>CAR 25-354</t>
  </si>
  <si>
    <t xml:space="preserve"> 58E8101130 breather bracket was found with missing weld around R6885 coupling, tac welds are present, print lists 3 mm weld all around coupling.</t>
  </si>
  <si>
    <t>Make sure sub-assemblies are fully welded before to weld on the final part.</t>
  </si>
  <si>
    <t>25-163</t>
  </si>
  <si>
    <t>CAR 25-357</t>
  </si>
  <si>
    <t>Hatch door was found not fitting into mtg ears that are welded to axle. Lower mtg ear EL0850 was welded in place at an angle that will not allow hatch door to install properly.</t>
  </si>
  <si>
    <t>Always use the manhole fixture to weld the component around the manhole.</t>
  </si>
  <si>
    <t>25-164</t>
  </si>
  <si>
    <t>CAR 25-359</t>
  </si>
  <si>
    <t>The 178.25+-.13 dim on the RH suspension mount is not kept. it measures 177.58 where the spacers stop.</t>
  </si>
  <si>
    <t>All machining dimesnions should be measured before and after the machining.</t>
  </si>
  <si>
    <t>25-165</t>
  </si>
  <si>
    <t>40299549 locker</t>
  </si>
  <si>
    <t>Missing Welds</t>
  </si>
  <si>
    <t>CAR 25-361</t>
  </si>
  <si>
    <t>Missing welds (x6) as shown on referenced picture and drawing</t>
  </si>
  <si>
    <t>Welds need to be applied in the below specified locations for all Progress Rail Lockers moving forward</t>
  </si>
  <si>
    <t>25-166</t>
  </si>
  <si>
    <t>Dimension u/s</t>
  </si>
  <si>
    <t>CAR 25-358</t>
  </si>
  <si>
    <t>Bottom grille structure recieved at PMO with 1 58B5461420 bracket welded off location. Inner bracket should measure 1016mm from out bracket, actually measure approx 1006mm</t>
  </si>
  <si>
    <t>After Twyn inspection, QA to manually  measure and verify the Dim 1016.0mm on every Grille until fixture is in place</t>
  </si>
  <si>
    <t>25-167</t>
  </si>
  <si>
    <t>Missing keys and stamping</t>
  </si>
  <si>
    <t>Weld/Stamp/Paint</t>
  </si>
  <si>
    <t>Missing keys for 2 Chassis. There is no stamping on chassis to identify them.</t>
  </si>
  <si>
    <t>After final inspection, QA should save;
1. Picture of keys (make sure keys are attached to the part in a safe manner)
2. Picture of stamping (make sure rev level and stamped number matches the work order) 
Follow the stamping format as shown,</t>
  </si>
  <si>
    <t>25-168</t>
  </si>
  <si>
    <t>Paint on Copper boss</t>
  </si>
  <si>
    <t>CAR 25-363</t>
  </si>
  <si>
    <t>Copper bosses must be covered with tape before to paint.</t>
  </si>
  <si>
    <t>25-169</t>
  </si>
  <si>
    <t>Lack of fusion, Re entery angle, undercut, profile.</t>
  </si>
  <si>
    <t xml:space="preserve">Always use appropriate welding parameters and techniques. Operator must inspect his own work by using ITPs and fix it on the spot. Even single pin hole, single undercut,  weld barries, tiny lack of fusions are not acceptable any more. </t>
  </si>
  <si>
    <t>25-170</t>
  </si>
  <si>
    <t>SUB B &amp; D Tab &amp; Slot Updates</t>
  </si>
  <si>
    <t>Correcting Poka-yoke</t>
  </si>
  <si>
    <t>ECN 25-053</t>
  </si>
  <si>
    <t>Existing Tabs and Notches failed to provide a positive location for poka-yoke, updated for better control.</t>
  </si>
  <si>
    <t>Jeremy Marissen</t>
  </si>
  <si>
    <t>Welders are required to verify location and orientation as per drawing.</t>
  </si>
  <si>
    <t>25-171</t>
  </si>
  <si>
    <t>Deck and Suport weld Quality</t>
  </si>
  <si>
    <t>Multiple decks leaving the line without being properly cleaned  and weld defects are not repaired.</t>
  </si>
  <si>
    <t>Employees have had group meeting and training for leads on what to look for before moving product to next process</t>
  </si>
  <si>
    <t>25-172</t>
  </si>
  <si>
    <t>CAR 25-365</t>
  </si>
  <si>
    <t>Customer received 58B5421001 deck with bracket 58B6011000 missing plate 58B6011020.</t>
  </si>
  <si>
    <t>Added visual check to ITP.
Welders to verify and sign off ITP once they weld 58B6011000 bracket.
QA to verify ITP and perfom Twyn. Stop tag MUST be issued if any issues are identified.</t>
  </si>
  <si>
    <t>25-173</t>
  </si>
  <si>
    <t>58B8040213- Cabinet</t>
  </si>
  <si>
    <t>Poor Weld Quality</t>
  </si>
  <si>
    <t>CAR 25-367</t>
  </si>
  <si>
    <t>1 pc of MM0489 stud broke off due to poor weld quality.</t>
  </si>
  <si>
    <t>All outsourced cabinets must go through receiving inspection. Parts MUST be inspected for weld defects and perform Twyn. No parts should be moved to grind/wash without QA approval. QA to Fill out verification log for all inspected parts</t>
  </si>
  <si>
    <t>25-174</t>
  </si>
  <si>
    <t>58F2200055 Axle housing</t>
  </si>
  <si>
    <t>CAR 25-376</t>
  </si>
  <si>
    <t>Rear axle has a standoff in this location it is supposed to be a mm0648 stud.</t>
  </si>
  <si>
    <t>Studs need to be verify with the Stud ITP before to weld.</t>
  </si>
  <si>
    <t>25-175</t>
  </si>
  <si>
    <t>Welding Defects</t>
  </si>
  <si>
    <t>CAR 25-377</t>
  </si>
  <si>
    <t>overlap lack of fusion ,undercut profile and pinholes
       lots of base metal on the  nose.</t>
  </si>
  <si>
    <t>Always use appropriate welding parameters and techniques. Operator must inspect his own work and fix it on the spot. Even single pin hole, single undercut,  weld barries, tiny lack of fusions are not acceptable anymore. 
Check each weld as per ITP.</t>
  </si>
  <si>
    <t>25-176</t>
  </si>
  <si>
    <t>undercut grind were were welds stop on blocks
       lack of fusion base metal</t>
  </si>
  <si>
    <t xml:space="preserve">ALERT #: </t>
  </si>
  <si>
    <t>ENTER ALERT #</t>
  </si>
  <si>
    <t>Part:</t>
  </si>
  <si>
    <t>Issued By:</t>
  </si>
  <si>
    <t>Where Found:</t>
  </si>
  <si>
    <t>Issue Date:</t>
  </si>
  <si>
    <t>PASSWORD PROTECTED - AOR</t>
  </si>
  <si>
    <t>Customer:</t>
  </si>
  <si>
    <t xml:space="preserve">End Date: </t>
  </si>
  <si>
    <t>Plant:</t>
  </si>
  <si>
    <t>NCR / ECN / CCR #
(if applicable)</t>
  </si>
  <si>
    <r>
      <t xml:space="preserve">Issue: </t>
    </r>
    <r>
      <rPr>
        <b/>
        <i/>
        <sz val="8"/>
        <color rgb="FFFFFFFF"/>
        <rFont val="Arial"/>
        <family val="2"/>
      </rPr>
      <t>(must include picture)</t>
    </r>
  </si>
  <si>
    <t>Correction Comment:</t>
  </si>
  <si>
    <r>
      <rPr>
        <b/>
        <sz val="14"/>
        <color rgb="FF000000"/>
        <rFont val="Calibri"/>
        <family val="2"/>
        <scheme val="minor"/>
      </rPr>
      <t xml:space="preserve">INSERT IMAGES HERE
Incorrect and Correct
</t>
    </r>
    <r>
      <rPr>
        <b/>
        <sz val="14"/>
        <color rgb="FFFF0000"/>
        <rFont val="Calibri"/>
        <family val="2"/>
        <scheme val="minor"/>
      </rPr>
      <t>DELETE WHEN FINISHED</t>
    </r>
  </si>
  <si>
    <t>Containment Action:</t>
  </si>
  <si>
    <r>
      <t>Identification</t>
    </r>
    <r>
      <rPr>
        <b/>
        <i/>
        <sz val="9"/>
        <color rgb="FFFFFFFF"/>
        <rFont val="Arial"/>
        <family val="2"/>
      </rPr>
      <t xml:space="preserve">: </t>
    </r>
  </si>
  <si>
    <t>Print on Pink Paper</t>
  </si>
  <si>
    <t xml:space="preserve">Sign Off Sheet   </t>
  </si>
  <si>
    <r>
      <t xml:space="preserve">Operator </t>
    </r>
    <r>
      <rPr>
        <b/>
        <i/>
        <sz val="8"/>
        <color rgb="FF000000"/>
        <rFont val="Arial"/>
        <family val="2"/>
      </rPr>
      <t>(Please Print)</t>
    </r>
  </si>
  <si>
    <t>Clock #</t>
  </si>
  <si>
    <t>Operator Signature</t>
  </si>
  <si>
    <r>
      <t xml:space="preserve">Quality Inspectors </t>
    </r>
    <r>
      <rPr>
        <b/>
        <i/>
        <sz val="8"/>
        <color rgb="FF000000"/>
        <rFont val="Arial"/>
        <family val="2"/>
      </rPr>
      <t>(Please Print)</t>
    </r>
  </si>
  <si>
    <t>Quality Inspector Signature</t>
  </si>
  <si>
    <r>
      <t xml:space="preserve">Lead Hands / Supervisors </t>
    </r>
    <r>
      <rPr>
        <b/>
        <i/>
        <sz val="8"/>
        <color rgb="FF000000"/>
        <rFont val="Arial"/>
        <family val="2"/>
      </rPr>
      <t>(Please Print)</t>
    </r>
  </si>
  <si>
    <t>Lead Hands / Supervisors Signature</t>
  </si>
  <si>
    <r>
      <rPr>
        <b/>
        <sz val="14"/>
        <color theme="1"/>
        <rFont val="Calibri"/>
        <family val="2"/>
        <scheme val="minor"/>
      </rPr>
      <t>AUTO ALERT FORM</t>
    </r>
    <r>
      <rPr>
        <sz val="14"/>
        <color theme="1"/>
        <rFont val="Calibri"/>
        <family val="2"/>
        <scheme val="minor"/>
      </rPr>
      <t xml:space="preserve">
</t>
    </r>
    <r>
      <rPr>
        <b/>
        <sz val="14"/>
        <color rgb="FF00B050"/>
        <rFont val="Calibri"/>
        <family val="2"/>
        <scheme val="minor"/>
      </rPr>
      <t>ENTER ALERT NUMBER IN CELL    G5</t>
    </r>
    <r>
      <rPr>
        <sz val="14"/>
        <color theme="1"/>
        <rFont val="Calibri"/>
        <family val="2"/>
        <scheme val="minor"/>
      </rPr>
      <t xml:space="preserve">
Form will auto-populate with info from Log - </t>
    </r>
    <r>
      <rPr>
        <sz val="14"/>
        <color rgb="FFFF0000"/>
        <rFont val="Calibri"/>
        <family val="2"/>
        <scheme val="minor"/>
      </rPr>
      <t>DO NOT EDIT TEXT IN OTHER CELLS</t>
    </r>
    <r>
      <rPr>
        <sz val="14"/>
        <color theme="1"/>
        <rFont val="Calibri"/>
        <family val="2"/>
        <scheme val="minor"/>
      </rPr>
      <t xml:space="preserve">
Insert images in left (X - incorrect) and right (</t>
    </r>
    <r>
      <rPr>
        <sz val="14"/>
        <color theme="1"/>
        <rFont val="Wingdings"/>
        <charset val="2"/>
      </rPr>
      <t>ü</t>
    </r>
    <r>
      <rPr>
        <sz val="14"/>
        <color theme="1"/>
        <rFont val="Calibri"/>
        <family val="2"/>
      </rPr>
      <t xml:space="preserve"> - </t>
    </r>
    <r>
      <rPr>
        <sz val="14"/>
        <color theme="1"/>
        <rFont val="Calibri"/>
        <family val="2"/>
        <scheme val="minor"/>
      </rPr>
      <t>correct) cells, 
and delete after saving this page as PDF.</t>
    </r>
  </si>
  <si>
    <t>NCR #:</t>
  </si>
  <si>
    <r>
      <t xml:space="preserve">INSERT IMAGES HERE
Incorrect and Correct
</t>
    </r>
    <r>
      <rPr>
        <b/>
        <sz val="14"/>
        <color rgb="FFFF0000"/>
        <rFont val="Calibri"/>
        <family val="2"/>
        <scheme val="minor"/>
      </rPr>
      <t>DELETE WHEN FINISHED</t>
    </r>
  </si>
  <si>
    <t>1.  Notify Operators
2. Verify In House Product</t>
  </si>
  <si>
    <t xml:space="preserve">Quality Alert Sign Off Sheet          </t>
  </si>
  <si>
    <t>Customers</t>
  </si>
  <si>
    <t>Komatsu (Japan)</t>
  </si>
  <si>
    <t>Hitachi</t>
  </si>
  <si>
    <t>Tigercat</t>
  </si>
  <si>
    <t>Pride Signs</t>
  </si>
  <si>
    <t>Link Belt</t>
  </si>
  <si>
    <t>Siemens</t>
  </si>
  <si>
    <t>Nordco</t>
  </si>
  <si>
    <t>Norfolk</t>
  </si>
  <si>
    <t>ARVA</t>
  </si>
  <si>
    <t>Sandvik</t>
  </si>
  <si>
    <t>Monona</t>
  </si>
  <si>
    <t>Ripley</t>
  </si>
  <si>
    <t>Plainfield</t>
  </si>
  <si>
    <t>Hay &amp; Forge</t>
  </si>
  <si>
    <t>MTM</t>
  </si>
  <si>
    <t>Strongco</t>
  </si>
  <si>
    <t>Major Tool</t>
  </si>
  <si>
    <t>Kemp Mfg.</t>
  </si>
  <si>
    <t>Lapeer</t>
  </si>
  <si>
    <t>Bucyrus</t>
  </si>
  <si>
    <t>FCF Bowers</t>
  </si>
  <si>
    <t>QCI Stratford</t>
  </si>
  <si>
    <t>QCI Woodstock</t>
  </si>
  <si>
    <t>Containment Action Confirmation</t>
  </si>
  <si>
    <t xml:space="preserve"> Confirmed by:                      Date:
Confirmed by:                      Date:</t>
  </si>
  <si>
    <t>1. 
2.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</si>
</sst>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1009]d/mmm/yy;@"/>
    <numFmt numFmtId="166" formatCode="[$-409]d\-mmm\-yy;@"/>
    <numFmt numFmtId="167" formatCode="[$-F800]dddd\,\ mmmm\ dd\,\ yyyy"/>
  </numFmts>
  <fonts count="64">
    <font>
      <sz val="11"/>
      <color theme="1"/>
      <name val="Calibri"/>
      <family val="2"/>
      <scheme val="minor"/>
    </font>
    <font>
      <b/>
      <i/>
      <sz val="12"/>
      <color theme="1"/>
      <name val="Arial"/>
      <family val="2"/>
    </font>
    <font>
      <b/>
      <i/>
      <sz val="10"/>
      <name val="Arial"/>
      <family val="2"/>
    </font>
    <font>
      <i/>
      <sz val="10"/>
      <name val="Arial"/>
      <family val="2"/>
    </font>
    <font>
      <b/>
      <sz val="11"/>
      <color theme="1"/>
      <name val="Calibri"/>
      <family val="2"/>
      <scheme val="minor"/>
    </font>
    <font>
      <u/>
      <sz val="11"/>
      <color theme="10"/>
      <name val="Calibri"/>
      <family val="2"/>
      <scheme val="minor"/>
    </font>
    <font>
      <u/>
      <sz val="12"/>
      <color theme="10"/>
      <name val="Calibri"/>
      <family val="2"/>
      <scheme val="minor"/>
    </font>
    <font>
      <sz val="10"/>
      <color theme="1"/>
      <name val="Arial"/>
      <family val="2"/>
    </font>
    <font>
      <sz val="9"/>
      <color indexed="81"/>
      <name val="Tahoma"/>
      <family val="2"/>
    </font>
    <font>
      <b/>
      <sz val="9"/>
      <color indexed="81"/>
      <name val="Tahoma"/>
      <family val="2"/>
    </font>
    <font>
      <sz val="8"/>
      <name val="Calibri"/>
      <family val="2"/>
      <scheme val="minor"/>
    </font>
    <font>
      <sz val="10"/>
      <color theme="10"/>
      <name val="Calibri"/>
      <family val="2"/>
      <scheme val="minor"/>
    </font>
    <font>
      <sz val="14"/>
      <color theme="1"/>
      <name val="Calibri"/>
      <family val="2"/>
      <scheme val="minor"/>
    </font>
    <font>
      <u/>
      <sz val="11"/>
      <name val="Calibri"/>
      <family val="2"/>
      <scheme val="minor"/>
    </font>
    <font>
      <strike/>
      <u/>
      <sz val="11"/>
      <color theme="10"/>
      <name val="Calibri"/>
      <family val="2"/>
      <scheme val="minor"/>
    </font>
    <font>
      <sz val="9"/>
      <color theme="1"/>
      <name val="Calibri"/>
      <family val="2"/>
      <scheme val="minor"/>
    </font>
    <font>
      <sz val="11"/>
      <name val="Calibri"/>
      <family val="2"/>
      <scheme val="minor"/>
    </font>
    <font>
      <u/>
      <sz val="11"/>
      <color theme="1"/>
      <name val="Calibri"/>
      <family val="2"/>
      <scheme val="minor"/>
    </font>
    <font>
      <sz val="8"/>
      <color theme="1"/>
      <name val="Calibri"/>
      <family val="2"/>
      <scheme val="minor"/>
    </font>
    <font>
      <sz val="10"/>
      <color theme="1"/>
      <name val="Calibri"/>
      <family val="2"/>
      <scheme val="minor"/>
    </font>
    <font>
      <strike/>
      <sz val="11"/>
      <color theme="1"/>
      <name val="Calibri"/>
      <family val="2"/>
      <scheme val="minor"/>
    </font>
    <font>
      <sz val="11"/>
      <color theme="1"/>
      <name val="Calibri"/>
      <family val="2"/>
      <scheme val="minor"/>
    </font>
    <font>
      <sz val="10"/>
      <name val="Arial"/>
      <family val="2"/>
    </font>
    <font>
      <sz val="14"/>
      <name val="Arial"/>
      <family val="2"/>
    </font>
    <font>
      <u/>
      <sz val="10"/>
      <color indexed="12"/>
      <name val="Arial"/>
      <family val="2"/>
    </font>
    <font>
      <b/>
      <i/>
      <u/>
      <sz val="36"/>
      <color theme="1"/>
      <name val="Arial"/>
      <family val="2"/>
    </font>
    <font>
      <sz val="10"/>
      <color theme="1"/>
      <name val="Times New Roman"/>
      <family val="1"/>
    </font>
    <font>
      <i/>
      <sz val="2"/>
      <color theme="1"/>
      <name val="Arial"/>
      <family val="2"/>
    </font>
    <font>
      <b/>
      <i/>
      <sz val="12"/>
      <color rgb="FFFFFFFF"/>
      <name val="Arial"/>
      <family val="2"/>
    </font>
    <font>
      <b/>
      <i/>
      <sz val="8"/>
      <color rgb="FFFFFFFF"/>
      <name val="Arial"/>
      <family val="2"/>
    </font>
    <font>
      <b/>
      <i/>
      <sz val="9"/>
      <color rgb="FFFFFFFF"/>
      <name val="Arial"/>
      <family val="2"/>
    </font>
    <font>
      <b/>
      <sz val="10"/>
      <color rgb="FF000000"/>
      <name val="Arial"/>
      <family val="2"/>
    </font>
    <font>
      <b/>
      <i/>
      <sz val="8"/>
      <color rgb="FF000000"/>
      <name val="Arial"/>
      <family val="2"/>
    </font>
    <font>
      <b/>
      <sz val="10"/>
      <color theme="1"/>
      <name val="Arial"/>
      <family val="2"/>
    </font>
    <font>
      <sz val="14"/>
      <color theme="1"/>
      <name val="Arial"/>
      <family val="2"/>
    </font>
    <font>
      <sz val="16"/>
      <color theme="1"/>
      <name val="Arial"/>
      <family val="2"/>
    </font>
    <font>
      <sz val="16"/>
      <color theme="1"/>
      <name val="Calibri"/>
      <family val="2"/>
      <scheme val="minor"/>
    </font>
    <font>
      <b/>
      <sz val="14"/>
      <color theme="1"/>
      <name val="Calibri"/>
      <family val="2"/>
      <scheme val="minor"/>
    </font>
    <font>
      <b/>
      <sz val="18"/>
      <color theme="1"/>
      <name val="Calibri"/>
      <family val="2"/>
      <scheme val="minor"/>
    </font>
    <font>
      <b/>
      <sz val="22"/>
      <color theme="1"/>
      <name val="Arial"/>
      <family val="2"/>
    </font>
    <font>
      <sz val="18"/>
      <color rgb="FF00B050"/>
      <name val="Times New Roman"/>
      <family val="1"/>
    </font>
    <font>
      <sz val="18"/>
      <color rgb="FFFF0000"/>
      <name val="Times New Roman"/>
      <family val="1"/>
    </font>
    <font>
      <b/>
      <i/>
      <sz val="14"/>
      <color rgb="FF000000"/>
      <name val="Arial"/>
      <family val="2"/>
    </font>
    <font>
      <b/>
      <sz val="12"/>
      <color theme="1"/>
      <name val="Tahoma"/>
      <family val="2"/>
    </font>
    <font>
      <b/>
      <sz val="18"/>
      <name val="Calibri"/>
      <family val="2"/>
      <scheme val="minor"/>
    </font>
    <font>
      <b/>
      <sz val="14"/>
      <color rgb="FFFF0000"/>
      <name val="Calibri"/>
      <family val="2"/>
      <scheme val="minor"/>
    </font>
    <font>
      <b/>
      <sz val="14"/>
      <color rgb="FF00B050"/>
      <name val="Calibri"/>
      <family val="2"/>
      <scheme val="minor"/>
    </font>
    <font>
      <sz val="14"/>
      <color rgb="FFFF0000"/>
      <name val="Calibri"/>
      <family val="2"/>
      <scheme val="minor"/>
    </font>
    <font>
      <sz val="14"/>
      <color theme="1"/>
      <name val="Wingdings"/>
      <charset val="2"/>
    </font>
    <font>
      <sz val="14"/>
      <color theme="1"/>
      <name val="Calibri"/>
      <family val="2"/>
    </font>
    <font>
      <sz val="12"/>
      <color theme="1"/>
      <name val="Calibri"/>
      <family val="2"/>
      <scheme val="minor"/>
    </font>
    <font>
      <sz val="11"/>
      <color rgb="FFFF0000"/>
      <name val="Calibri"/>
      <family val="2"/>
      <scheme val="minor"/>
    </font>
    <font>
      <b/>
      <i/>
      <sz val="36"/>
      <color theme="1"/>
      <name val="Calibri"/>
      <family val="2"/>
      <scheme val="minor"/>
    </font>
    <font>
      <b/>
      <sz val="9"/>
      <color theme="1"/>
      <name val="Calibri"/>
      <family val="2"/>
      <scheme val="minor"/>
    </font>
    <font>
      <sz val="9.8000000000000007"/>
      <color theme="1"/>
      <name val="Calibri"/>
      <family val="2"/>
      <scheme val="minor"/>
    </font>
    <font>
      <strike/>
      <sz val="10"/>
      <color theme="1"/>
      <name val="Calibri"/>
      <family val="2"/>
      <scheme val="minor"/>
    </font>
    <font>
      <sz val="11"/>
      <color rgb="FF000000"/>
      <name val="Calibri"/>
      <family val="2"/>
      <scheme val="minor"/>
    </font>
    <font>
      <b/>
      <i/>
      <sz val="14"/>
      <color theme="0"/>
      <name val="Calibri"/>
      <family val="2"/>
      <scheme val="minor"/>
    </font>
    <font>
      <i/>
      <sz val="14"/>
      <color theme="0"/>
      <name val="Calibri"/>
      <family val="2"/>
      <scheme val="minor"/>
    </font>
    <font>
      <i/>
      <sz val="14"/>
      <color theme="1"/>
      <name val="Calibri"/>
      <family val="2"/>
      <scheme val="minor"/>
    </font>
    <font>
      <b/>
      <sz val="14"/>
      <color rgb="FF000000"/>
      <name val="Calibri"/>
      <family val="2"/>
      <scheme val="minor"/>
    </font>
    <font>
      <sz val="16"/>
      <color rgb="FF00B050"/>
      <name val="Arial"/>
      <family val="2"/>
    </font>
    <font>
      <sz val="14"/>
      <color rgb="FFFF0000"/>
      <name val="Arial"/>
      <family val="2"/>
    </font>
    <font>
      <b/>
      <i/>
      <sz val="12"/>
      <color theme="0"/>
      <name val="Arial"/>
      <family val="2"/>
    </font>
  </fonts>
  <fills count="18">
    <fill>
      <patternFill patternType="none"/>
    </fill>
    <fill>
      <patternFill patternType="gray125"/>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theme="0"/>
        <bgColor indexed="64"/>
      </patternFill>
    </fill>
    <fill>
      <patternFill patternType="solid">
        <fgColor rgb="FF33CCFF"/>
        <bgColor indexed="64"/>
      </patternFill>
    </fill>
    <fill>
      <patternFill patternType="solid">
        <fgColor rgb="FFF66ED2"/>
        <bgColor indexed="64"/>
      </patternFill>
    </fill>
    <fill>
      <patternFill patternType="solid">
        <fgColor theme="0" tint="-0.499984740745262"/>
        <bgColor indexed="64"/>
      </patternFill>
    </fill>
    <fill>
      <patternFill patternType="solid">
        <fgColor rgb="FFFFFFFF"/>
        <bgColor indexed="64"/>
      </patternFill>
    </fill>
    <fill>
      <patternFill patternType="solid">
        <fgColor rgb="FFFFFF00"/>
        <bgColor indexed="64"/>
      </patternFill>
    </fill>
    <fill>
      <patternFill patternType="solid">
        <fgColor theme="0"/>
        <bgColor theme="4" tint="0.79998168889431442"/>
      </patternFill>
    </fill>
    <fill>
      <patternFill patternType="solid">
        <fgColor rgb="FF000000"/>
        <bgColor indexed="64"/>
      </patternFill>
    </fill>
    <fill>
      <patternFill patternType="solid">
        <fgColor rgb="FFD9D9D9"/>
        <bgColor indexed="64"/>
      </patternFill>
    </fill>
    <fill>
      <patternFill patternType="solid">
        <fgColor theme="4" tint="0.79998168889431442"/>
        <bgColor theme="4" tint="0.79998168889431442"/>
      </patternFill>
    </fill>
    <fill>
      <patternFill patternType="solid">
        <fgColor theme="0" tint="-0.34998626667073579"/>
        <bgColor theme="4" tint="0.79998168889431442"/>
      </patternFill>
    </fill>
    <fill>
      <patternFill patternType="solid">
        <fgColor theme="0" tint="-0.34998626667073579"/>
        <bgColor indexed="64"/>
      </patternFill>
    </fill>
    <fill>
      <patternFill patternType="lightUp"/>
    </fill>
  </fills>
  <borders count="5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style="thin">
        <color theme="4" tint="0.39997558519241921"/>
      </top>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rgb="FFFFFF00"/>
      </top>
      <bottom/>
      <diagonal/>
    </border>
    <border>
      <left style="thick">
        <color indexed="64"/>
      </left>
      <right style="thick">
        <color indexed="64"/>
      </right>
      <top style="thick">
        <color indexed="64"/>
      </top>
      <bottom style="thick">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top style="thin">
        <color theme="4" tint="0.39997558519241921"/>
      </top>
      <bottom style="thin">
        <color theme="4" tint="0.39997558519241921"/>
      </bottom>
      <diagonal/>
    </border>
    <border>
      <left/>
      <right style="thin">
        <color indexed="64"/>
      </right>
      <top style="thin">
        <color indexed="64"/>
      </top>
      <bottom/>
      <diagonal/>
    </border>
    <border>
      <left/>
      <right/>
      <top style="thin">
        <color indexed="64"/>
      </top>
      <bottom/>
      <diagonal/>
    </border>
    <border>
      <left style="medium">
        <color rgb="FF000000"/>
      </left>
      <right/>
      <top style="medium">
        <color rgb="FF000000"/>
      </top>
      <bottom/>
      <diagonal/>
    </border>
    <border>
      <left/>
      <right/>
      <top style="medium">
        <color rgb="FF000000"/>
      </top>
      <bottom/>
      <diagonal/>
    </border>
    <border>
      <left/>
      <right style="medium">
        <color indexed="64"/>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style="medium">
        <color indexed="64"/>
      </top>
      <bottom/>
      <diagonal/>
    </border>
    <border>
      <left/>
      <right style="medium">
        <color rgb="FF000000"/>
      </right>
      <top/>
      <bottom/>
      <diagonal/>
    </border>
    <border>
      <left/>
      <right style="medium">
        <color rgb="FF000000"/>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s>
  <cellStyleXfs count="6">
    <xf numFmtId="0" fontId="0" fillId="0" borderId="0"/>
    <xf numFmtId="0" fontId="5" fillId="0" borderId="0" applyNumberFormat="0" applyFill="0" applyBorder="0" applyAlignment="0" applyProtection="0"/>
    <xf numFmtId="164" fontId="21" fillId="0" borderId="0" applyFont="0" applyFill="0" applyBorder="0" applyAlignment="0" applyProtection="0"/>
    <xf numFmtId="0" fontId="22" fillId="0" borderId="0"/>
    <xf numFmtId="0" fontId="24" fillId="0" borderId="0" applyNumberFormat="0" applyFill="0" applyBorder="0" applyAlignment="0" applyProtection="0">
      <alignment vertical="top"/>
      <protection locked="0"/>
    </xf>
    <xf numFmtId="164" fontId="21" fillId="0" borderId="0" applyFont="0" applyFill="0" applyBorder="0" applyAlignment="0" applyProtection="0"/>
  </cellStyleXfs>
  <cellXfs count="330">
    <xf numFmtId="0" fontId="0" fillId="0" borderId="0" xfId="0"/>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8" xfId="0" applyFont="1" applyBorder="1" applyAlignment="1">
      <alignment horizontal="center" vertical="center"/>
    </xf>
    <xf numFmtId="166" fontId="4" fillId="0" borderId="0" xfId="0" applyNumberFormat="1" applyFont="1"/>
    <xf numFmtId="0" fontId="15" fillId="0" borderId="0" xfId="0" applyFont="1" applyAlignment="1">
      <alignment wrapText="1"/>
    </xf>
    <xf numFmtId="0" fontId="18" fillId="0" borderId="0" xfId="0" applyFont="1" applyAlignment="1">
      <alignment vertical="center" wrapText="1"/>
    </xf>
    <xf numFmtId="0" fontId="16" fillId="0" borderId="1" xfId="0" applyFont="1" applyBorder="1" applyAlignment="1">
      <alignment horizontal="center" vertical="center"/>
    </xf>
    <xf numFmtId="0" fontId="20" fillId="0" borderId="0" xfId="0" applyFont="1"/>
    <xf numFmtId="0" fontId="26" fillId="0" borderId="0" xfId="0" applyFont="1" applyAlignment="1">
      <alignment vertical="center" wrapText="1"/>
    </xf>
    <xf numFmtId="0" fontId="27" fillId="0" borderId="0" xfId="0" applyFont="1" applyAlignment="1">
      <alignment horizontal="right" vertical="center" wrapText="1"/>
    </xf>
    <xf numFmtId="0" fontId="0" fillId="0" borderId="0" xfId="0" applyAlignment="1">
      <alignment vertical="center"/>
    </xf>
    <xf numFmtId="0" fontId="31" fillId="13" borderId="20" xfId="0" applyFont="1" applyFill="1" applyBorder="1" applyAlignment="1">
      <alignment horizontal="center" vertical="center" wrapText="1"/>
    </xf>
    <xf numFmtId="0" fontId="7" fillId="0" borderId="0" xfId="0" applyFont="1" applyAlignment="1">
      <alignment horizontal="center" vertical="center"/>
    </xf>
    <xf numFmtId="0" fontId="7" fillId="0" borderId="0" xfId="0" applyFont="1" applyAlignment="1">
      <alignment vertical="center"/>
    </xf>
    <xf numFmtId="0" fontId="38" fillId="0" borderId="0" xfId="0" applyFont="1" applyAlignment="1">
      <alignment horizontal="right"/>
    </xf>
    <xf numFmtId="0" fontId="6" fillId="14" borderId="24" xfId="1" applyFont="1" applyFill="1" applyBorder="1" applyAlignment="1">
      <alignment horizontal="center" vertical="center"/>
    </xf>
    <xf numFmtId="0" fontId="6" fillId="0" borderId="24" xfId="1" applyFont="1" applyBorder="1" applyAlignment="1">
      <alignment horizontal="center" vertical="center"/>
    </xf>
    <xf numFmtId="0" fontId="13" fillId="14" borderId="24" xfId="1" applyFont="1" applyFill="1" applyBorder="1" applyAlignment="1">
      <alignment horizontal="center" vertical="center"/>
    </xf>
    <xf numFmtId="0" fontId="13" fillId="0" borderId="24" xfId="1" applyFont="1" applyBorder="1" applyAlignment="1">
      <alignment horizontal="center" vertical="center"/>
    </xf>
    <xf numFmtId="0" fontId="14" fillId="0" borderId="24" xfId="1" applyFont="1" applyBorder="1" applyAlignment="1">
      <alignment horizontal="center" vertical="center"/>
    </xf>
    <xf numFmtId="0" fontId="14" fillId="14" borderId="24" xfId="1" applyFont="1" applyFill="1" applyBorder="1" applyAlignment="1">
      <alignment horizontal="center" vertical="center"/>
    </xf>
    <xf numFmtId="15" fontId="19" fillId="14" borderId="23" xfId="0" applyNumberFormat="1" applyFont="1" applyFill="1" applyBorder="1" applyAlignment="1">
      <alignment wrapText="1"/>
    </xf>
    <xf numFmtId="15" fontId="20" fillId="0" borderId="23" xfId="0" applyNumberFormat="1" applyFont="1" applyBorder="1"/>
    <xf numFmtId="0" fontId="17" fillId="14" borderId="24" xfId="0" applyFont="1" applyFill="1" applyBorder="1" applyAlignment="1">
      <alignment horizontal="center" vertical="center"/>
    </xf>
    <xf numFmtId="15" fontId="19" fillId="0" borderId="23" xfId="0" applyNumberFormat="1" applyFont="1" applyBorder="1" applyAlignment="1">
      <alignment horizontal="center" wrapText="1"/>
    </xf>
    <xf numFmtId="0" fontId="16" fillId="14" borderId="24" xfId="0" applyFont="1" applyFill="1" applyBorder="1" applyAlignment="1">
      <alignment horizontal="center" vertical="center"/>
    </xf>
    <xf numFmtId="0" fontId="33" fillId="0" borderId="1" xfId="0" applyFont="1" applyBorder="1" applyAlignment="1">
      <alignment vertical="center" wrapText="1"/>
    </xf>
    <xf numFmtId="0" fontId="33" fillId="0" borderId="21" xfId="0" applyFont="1" applyBorder="1" applyAlignment="1">
      <alignment horizontal="center" vertical="center" wrapText="1"/>
    </xf>
    <xf numFmtId="0" fontId="33" fillId="0" borderId="10" xfId="0" applyFont="1" applyBorder="1" applyAlignment="1">
      <alignment horizontal="center" vertical="center" wrapText="1"/>
    </xf>
    <xf numFmtId="0" fontId="33" fillId="0" borderId="22" xfId="0" applyFont="1" applyBorder="1" applyAlignment="1">
      <alignment vertical="center" wrapText="1"/>
    </xf>
    <xf numFmtId="0" fontId="0" fillId="0" borderId="14" xfId="0" applyBorder="1" applyAlignment="1">
      <alignment horizontal="center" vertical="center"/>
    </xf>
    <xf numFmtId="0" fontId="38" fillId="0" borderId="11" xfId="0" applyFont="1" applyBorder="1" applyAlignment="1">
      <alignment horizontal="center" vertical="center"/>
    </xf>
    <xf numFmtId="0" fontId="39" fillId="0" borderId="0" xfId="0" applyFont="1" applyAlignment="1">
      <alignment vertical="center"/>
    </xf>
    <xf numFmtId="0" fontId="38" fillId="0" borderId="0" xfId="0" applyFont="1" applyAlignment="1">
      <alignment horizontal="center" vertical="center"/>
    </xf>
    <xf numFmtId="0" fontId="42" fillId="0" borderId="0" xfId="0" applyFont="1" applyAlignment="1">
      <alignment horizontal="right" vertical="center" wrapText="1"/>
    </xf>
    <xf numFmtId="0" fontId="34" fillId="0" borderId="0" xfId="0" applyFont="1" applyAlignment="1">
      <alignment horizontal="center" vertical="center" wrapText="1"/>
    </xf>
    <xf numFmtId="0" fontId="34" fillId="0" borderId="0" xfId="0" applyFont="1" applyAlignment="1">
      <alignment vertical="center" wrapText="1"/>
    </xf>
    <xf numFmtId="0" fontId="12" fillId="0" borderId="0" xfId="0" applyFont="1"/>
    <xf numFmtId="167" fontId="34" fillId="0" borderId="0" xfId="0" applyNumberFormat="1" applyFont="1" applyAlignment="1">
      <alignment horizontal="center" vertical="center" wrapText="1"/>
    </xf>
    <xf numFmtId="0" fontId="36" fillId="0" borderId="0" xfId="2" applyNumberFormat="1" applyFont="1" applyBorder="1" applyAlignment="1">
      <alignment horizontal="left" vertical="top"/>
    </xf>
    <xf numFmtId="0" fontId="35" fillId="0" borderId="0" xfId="0" applyFont="1" applyAlignment="1">
      <alignment horizontal="left" vertical="top" wrapText="1"/>
    </xf>
    <xf numFmtId="0" fontId="43" fillId="0" borderId="0" xfId="0" applyFont="1" applyAlignment="1">
      <alignment vertical="center" wrapText="1"/>
    </xf>
    <xf numFmtId="0" fontId="12" fillId="0" borderId="0" xfId="0" applyFont="1" applyAlignment="1">
      <alignment horizontal="right"/>
    </xf>
    <xf numFmtId="0" fontId="33" fillId="0" borderId="30" xfId="0" applyFont="1" applyBorder="1" applyAlignment="1">
      <alignment horizontal="center" vertical="center" wrapText="1"/>
    </xf>
    <xf numFmtId="0" fontId="33" fillId="0" borderId="5" xfId="0" applyFont="1" applyBorder="1" applyAlignment="1">
      <alignment horizontal="center" vertical="center" wrapText="1"/>
    </xf>
    <xf numFmtId="0" fontId="33" fillId="0" borderId="33" xfId="0" applyFont="1" applyBorder="1" applyAlignment="1">
      <alignment vertical="center" wrapText="1"/>
    </xf>
    <xf numFmtId="0" fontId="1" fillId="12" borderId="15" xfId="0" applyFont="1" applyFill="1" applyBorder="1" applyAlignment="1">
      <alignment vertical="center" wrapText="1"/>
    </xf>
    <xf numFmtId="0" fontId="0" fillId="0" borderId="35" xfId="0" applyBorder="1"/>
    <xf numFmtId="0" fontId="44" fillId="0" borderId="36" xfId="0" applyFont="1" applyBorder="1" applyAlignment="1">
      <alignment horizontal="center" vertical="center"/>
    </xf>
    <xf numFmtId="0" fontId="16" fillId="0" borderId="0" xfId="0" applyFont="1" applyAlignment="1">
      <alignment horizontal="center" wrapText="1"/>
    </xf>
    <xf numFmtId="0" fontId="44" fillId="0" borderId="36" xfId="0" applyFont="1" applyBorder="1" applyAlignment="1" applyProtection="1">
      <alignment horizontal="center" vertical="center"/>
      <protection locked="0"/>
    </xf>
    <xf numFmtId="0" fontId="50" fillId="0" borderId="37" xfId="0" applyFont="1" applyBorder="1" applyAlignment="1">
      <alignment horizontal="left" vertical="center" wrapText="1"/>
    </xf>
    <xf numFmtId="0" fontId="50" fillId="0" borderId="38" xfId="0" applyFont="1" applyBorder="1" applyAlignment="1">
      <alignment horizontal="left" vertical="center" wrapText="1"/>
    </xf>
    <xf numFmtId="0" fontId="50" fillId="0" borderId="1" xfId="0" applyFont="1" applyBorder="1" applyAlignment="1">
      <alignment horizontal="left" vertical="center" wrapText="1"/>
    </xf>
    <xf numFmtId="0" fontId="16" fillId="0" borderId="1" xfId="0" applyFont="1" applyBorder="1" applyAlignment="1">
      <alignment horizontal="center" wrapText="1"/>
    </xf>
    <xf numFmtId="0" fontId="16" fillId="0" borderId="1" xfId="0" applyFont="1" applyBorder="1" applyAlignment="1">
      <alignment horizontal="center" vertical="center" wrapText="1"/>
    </xf>
    <xf numFmtId="11" fontId="12" fillId="14" borderId="24" xfId="0" applyNumberFormat="1" applyFont="1" applyFill="1" applyBorder="1" applyAlignment="1">
      <alignment horizontal="center" vertical="center"/>
    </xf>
    <xf numFmtId="0" fontId="16" fillId="0" borderId="23" xfId="0" applyFont="1" applyBorder="1" applyAlignment="1">
      <alignment horizontal="center" wrapText="1"/>
    </xf>
    <xf numFmtId="0" fontId="23" fillId="0" borderId="0" xfId="0" applyFont="1" applyAlignment="1">
      <alignment horizontal="center" vertical="center" wrapText="1"/>
    </xf>
    <xf numFmtId="0" fontId="39" fillId="0" borderId="0" xfId="0" applyFont="1" applyAlignment="1">
      <alignment vertical="top"/>
    </xf>
    <xf numFmtId="0" fontId="39" fillId="0" borderId="12" xfId="0" applyFont="1" applyBorder="1" applyAlignment="1">
      <alignment vertical="top"/>
    </xf>
    <xf numFmtId="0" fontId="44" fillId="0" borderId="11" xfId="0" applyFont="1" applyBorder="1" applyAlignment="1">
      <alignment horizontal="center" vertical="center"/>
    </xf>
    <xf numFmtId="0" fontId="4" fillId="0" borderId="0" xfId="0" applyFont="1"/>
    <xf numFmtId="0" fontId="50" fillId="0" borderId="38" xfId="0" applyFont="1" applyBorder="1" applyAlignment="1">
      <alignment horizontal="center" vertical="center" wrapText="1"/>
    </xf>
    <xf numFmtId="0" fontId="19" fillId="0" borderId="1" xfId="0" applyFont="1" applyBorder="1" applyAlignment="1">
      <alignment horizontal="center" vertical="center" wrapText="1"/>
    </xf>
    <xf numFmtId="0" fontId="50" fillId="0" borderId="1" xfId="0" applyFont="1" applyBorder="1" applyAlignment="1">
      <alignment horizontal="center" vertical="center" wrapText="1"/>
    </xf>
    <xf numFmtId="0" fontId="52" fillId="0" borderId="0" xfId="0" applyFont="1" applyAlignment="1">
      <alignment horizontal="center" vertical="center"/>
    </xf>
    <xf numFmtId="165" fontId="5" fillId="7" borderId="0" xfId="1" applyNumberFormat="1" applyFill="1" applyAlignment="1">
      <alignment horizontal="center" vertical="center" wrapText="1"/>
    </xf>
    <xf numFmtId="165" fontId="5" fillId="6" borderId="0" xfId="1" applyNumberFormat="1" applyFill="1" applyAlignment="1">
      <alignment horizontal="center" vertical="center" wrapText="1"/>
    </xf>
    <xf numFmtId="0" fontId="5" fillId="0" borderId="0" xfId="1" applyAlignment="1">
      <alignment horizontal="center" vertical="center"/>
    </xf>
    <xf numFmtId="0" fontId="52" fillId="0" borderId="0" xfId="0" applyFont="1" applyAlignment="1">
      <alignment horizontal="left" vertical="center"/>
    </xf>
    <xf numFmtId="0" fontId="52" fillId="0" borderId="0" xfId="0" applyFont="1" applyAlignment="1">
      <alignment vertical="center"/>
    </xf>
    <xf numFmtId="0" fontId="0" fillId="14" borderId="24" xfId="0" applyFill="1" applyBorder="1" applyAlignment="1">
      <alignment horizontal="center" vertical="center"/>
    </xf>
    <xf numFmtId="0" fontId="0" fillId="15" borderId="24" xfId="0" applyFill="1" applyBorder="1" applyAlignment="1">
      <alignment horizontal="center" vertical="center"/>
    </xf>
    <xf numFmtId="0" fontId="0" fillId="14" borderId="24" xfId="0" applyFill="1" applyBorder="1" applyAlignment="1">
      <alignment horizontal="center" vertical="center" wrapText="1"/>
    </xf>
    <xf numFmtId="165" fontId="0" fillId="14" borderId="24" xfId="0" applyNumberFormat="1" applyFill="1" applyBorder="1" applyAlignment="1">
      <alignment horizontal="center" vertical="center"/>
    </xf>
    <xf numFmtId="0" fontId="0" fillId="14" borderId="24" xfId="0" applyFill="1" applyBorder="1" applyAlignment="1">
      <alignment horizontal="left" vertical="center" wrapText="1"/>
    </xf>
    <xf numFmtId="0" fontId="0" fillId="15" borderId="24" xfId="0" applyFill="1" applyBorder="1" applyAlignment="1">
      <alignment horizontal="center" vertical="center" wrapText="1"/>
    </xf>
    <xf numFmtId="0" fontId="0" fillId="15" borderId="24" xfId="0" applyFill="1" applyBorder="1" applyAlignment="1">
      <alignment vertical="center" wrapText="1"/>
    </xf>
    <xf numFmtId="0" fontId="0" fillId="8" borderId="23" xfId="0" applyFill="1" applyBorder="1"/>
    <xf numFmtId="0" fontId="0" fillId="0" borderId="24" xfId="0" applyBorder="1" applyAlignment="1">
      <alignment horizontal="center" vertical="center"/>
    </xf>
    <xf numFmtId="0" fontId="0" fillId="16" borderId="24" xfId="0" applyFill="1" applyBorder="1" applyAlignment="1">
      <alignment horizontal="center" vertical="center"/>
    </xf>
    <xf numFmtId="0" fontId="0" fillId="0" borderId="24" xfId="0" applyBorder="1" applyAlignment="1">
      <alignment horizontal="center" vertical="center" wrapText="1"/>
    </xf>
    <xf numFmtId="165" fontId="0" fillId="0" borderId="24" xfId="0" applyNumberFormat="1" applyBorder="1" applyAlignment="1">
      <alignment horizontal="center" vertical="center"/>
    </xf>
    <xf numFmtId="0" fontId="0" fillId="0" borderId="24" xfId="0" applyBorder="1" applyAlignment="1">
      <alignment horizontal="left" vertical="center" wrapText="1"/>
    </xf>
    <xf numFmtId="165" fontId="0" fillId="4" borderId="24" xfId="0" applyNumberFormat="1" applyFill="1" applyBorder="1" applyAlignment="1">
      <alignment horizontal="center" vertical="center"/>
    </xf>
    <xf numFmtId="165" fontId="0" fillId="5" borderId="24" xfId="0" applyNumberFormat="1" applyFill="1" applyBorder="1" applyAlignment="1">
      <alignment horizontal="center" vertical="center"/>
    </xf>
    <xf numFmtId="0" fontId="5" fillId="0" borderId="24" xfId="1" applyBorder="1" applyAlignment="1">
      <alignment horizontal="center" vertical="center"/>
    </xf>
    <xf numFmtId="0" fontId="5" fillId="14" borderId="24" xfId="1" applyFill="1" applyBorder="1" applyAlignment="1">
      <alignment horizontal="center" vertical="center"/>
    </xf>
    <xf numFmtId="11" fontId="0" fillId="0" borderId="24" xfId="0" applyNumberFormat="1" applyBorder="1" applyAlignment="1">
      <alignment horizontal="center" vertical="center"/>
    </xf>
    <xf numFmtId="11" fontId="0" fillId="14" borderId="24" xfId="0" applyNumberFormat="1" applyFill="1" applyBorder="1" applyAlignment="1">
      <alignment horizontal="center" vertical="center"/>
    </xf>
    <xf numFmtId="11" fontId="0" fillId="0" borderId="24" xfId="0" applyNumberFormat="1" applyBorder="1" applyAlignment="1">
      <alignment horizontal="left" vertical="center" wrapText="1"/>
    </xf>
    <xf numFmtId="11" fontId="0" fillId="15" borderId="24" xfId="0" applyNumberFormat="1" applyFill="1" applyBorder="1" applyAlignment="1">
      <alignment horizontal="center" vertical="center" wrapText="1"/>
    </xf>
    <xf numFmtId="0" fontId="0" fillId="17" borderId="24" xfId="0" applyFill="1" applyBorder="1" applyAlignment="1">
      <alignment horizontal="center" vertical="center" wrapText="1"/>
    </xf>
    <xf numFmtId="11" fontId="0" fillId="14" borderId="24" xfId="0" applyNumberFormat="1" applyFill="1" applyBorder="1" applyAlignment="1">
      <alignment horizontal="left" vertical="center" wrapText="1"/>
    </xf>
    <xf numFmtId="165" fontId="0" fillId="14" borderId="24" xfId="0" applyNumberFormat="1" applyFill="1" applyBorder="1" applyAlignment="1">
      <alignment horizontal="center" vertical="center" wrapText="1"/>
    </xf>
    <xf numFmtId="14" fontId="0" fillId="8" borderId="23" xfId="0" applyNumberFormat="1" applyFill="1" applyBorder="1"/>
    <xf numFmtId="0" fontId="53" fillId="0" borderId="24" xfId="0" applyFont="1" applyBorder="1" applyAlignment="1">
      <alignment horizontal="center" vertical="center" wrapText="1"/>
    </xf>
    <xf numFmtId="15" fontId="0" fillId="14" borderId="23" xfId="0" applyNumberFormat="1" applyFill="1" applyBorder="1"/>
    <xf numFmtId="15" fontId="0" fillId="0" borderId="23" xfId="0" applyNumberFormat="1" applyBorder="1"/>
    <xf numFmtId="15" fontId="0" fillId="0" borderId="10" xfId="0" applyNumberFormat="1" applyBorder="1"/>
    <xf numFmtId="0" fontId="0" fillId="0" borderId="23" xfId="0" applyBorder="1"/>
    <xf numFmtId="0" fontId="0" fillId="14" borderId="23" xfId="0" applyFill="1" applyBorder="1"/>
    <xf numFmtId="15" fontId="0" fillId="0" borderId="24" xfId="0" applyNumberFormat="1" applyBorder="1" applyAlignment="1">
      <alignment horizontal="center" vertical="center" wrapText="1"/>
    </xf>
    <xf numFmtId="11" fontId="0" fillId="0" borderId="24" xfId="0" applyNumberFormat="1" applyBorder="1" applyAlignment="1">
      <alignment horizontal="center" vertical="center" wrapText="1"/>
    </xf>
    <xf numFmtId="0" fontId="0" fillId="14" borderId="24" xfId="0" applyFill="1" applyBorder="1" applyAlignment="1">
      <alignment wrapText="1"/>
    </xf>
    <xf numFmtId="0" fontId="0" fillId="15" borderId="24" xfId="0" applyFill="1" applyBorder="1" applyAlignment="1">
      <alignment horizontal="center" wrapText="1"/>
    </xf>
    <xf numFmtId="0" fontId="0" fillId="0" borderId="23" xfId="0" applyBorder="1" applyAlignment="1">
      <alignment horizontal="center" wrapText="1"/>
    </xf>
    <xf numFmtId="0" fontId="0" fillId="14" borderId="24" xfId="0" applyFill="1" applyBorder="1" applyAlignment="1">
      <alignment horizontal="left" vertical="center" wrapText="1" shrinkToFit="1"/>
    </xf>
    <xf numFmtId="0" fontId="0" fillId="15" borderId="24" xfId="0" applyFill="1" applyBorder="1" applyAlignment="1">
      <alignment horizontal="center" vertical="center" wrapText="1" shrinkToFit="1"/>
    </xf>
    <xf numFmtId="0" fontId="19" fillId="14" borderId="24" xfId="0" applyFont="1" applyFill="1" applyBorder="1" applyAlignment="1">
      <alignment horizontal="center" vertical="center" wrapText="1"/>
    </xf>
    <xf numFmtId="165" fontId="0" fillId="9" borderId="24" xfId="0" applyNumberFormat="1" applyFill="1" applyBorder="1" applyAlignment="1">
      <alignment horizontal="center" vertical="center"/>
    </xf>
    <xf numFmtId="14" fontId="0" fillId="0" borderId="24" xfId="0" applyNumberFormat="1" applyBorder="1" applyAlignment="1">
      <alignment horizontal="center" vertical="center"/>
    </xf>
    <xf numFmtId="165" fontId="0" fillId="0" borderId="24" xfId="0" applyNumberFormat="1" applyBorder="1" applyAlignment="1">
      <alignment horizontal="center" vertical="center" wrapText="1"/>
    </xf>
    <xf numFmtId="0" fontId="0" fillId="0" borderId="24" xfId="0" applyBorder="1" applyAlignment="1">
      <alignment horizontal="center" vertical="top" wrapText="1"/>
    </xf>
    <xf numFmtId="0" fontId="0" fillId="15" borderId="24" xfId="0" applyFill="1" applyBorder="1" applyAlignment="1">
      <alignment horizontal="center" vertical="top" wrapText="1"/>
    </xf>
    <xf numFmtId="0" fontId="50" fillId="0" borderId="24" xfId="0" applyFont="1" applyBorder="1" applyAlignment="1">
      <alignment horizontal="center" vertical="center"/>
    </xf>
    <xf numFmtId="0" fontId="50" fillId="14" borderId="24" xfId="0" applyFont="1" applyFill="1" applyBorder="1" applyAlignment="1">
      <alignment horizontal="center" vertical="center"/>
    </xf>
    <xf numFmtId="15" fontId="0" fillId="14" borderId="24" xfId="0" applyNumberFormat="1" applyFill="1" applyBorder="1" applyAlignment="1">
      <alignment horizontal="center" vertical="center" wrapText="1"/>
    </xf>
    <xf numFmtId="0" fontId="0" fillId="0" borderId="24" xfId="0" applyBorder="1" applyAlignment="1">
      <alignment vertical="center" wrapText="1"/>
    </xf>
    <xf numFmtId="0" fontId="0" fillId="14" borderId="24" xfId="0" applyFill="1" applyBorder="1" applyAlignment="1">
      <alignment vertical="center" wrapText="1"/>
    </xf>
    <xf numFmtId="0" fontId="0" fillId="0" borderId="0" xfId="0" applyAlignment="1">
      <alignment wrapText="1"/>
    </xf>
    <xf numFmtId="0" fontId="0" fillId="0" borderId="23" xfId="0" applyBorder="1" applyAlignment="1">
      <alignment horizontal="center" vertical="center" wrapText="1"/>
    </xf>
    <xf numFmtId="0" fontId="5" fillId="14" borderId="24" xfId="1" applyFill="1" applyBorder="1" applyAlignment="1">
      <alignment horizontal="center" vertical="center" wrapText="1"/>
    </xf>
    <xf numFmtId="0" fontId="0" fillId="14" borderId="26" xfId="0" applyFill="1" applyBorder="1" applyAlignment="1">
      <alignment horizontal="center" vertical="center"/>
    </xf>
    <xf numFmtId="0" fontId="0" fillId="14" borderId="25" xfId="0" applyFill="1" applyBorder="1" applyAlignment="1">
      <alignment horizontal="center" vertical="center"/>
    </xf>
    <xf numFmtId="15" fontId="0" fillId="14" borderId="24" xfId="0" applyNumberFormat="1" applyFill="1" applyBorder="1" applyAlignment="1">
      <alignment horizontal="center" vertical="center"/>
    </xf>
    <xf numFmtId="15" fontId="0" fillId="0" borderId="23" xfId="0" applyNumberFormat="1" applyBorder="1" applyAlignment="1">
      <alignment wrapText="1"/>
    </xf>
    <xf numFmtId="15" fontId="0" fillId="14" borderId="23" xfId="0" applyNumberFormat="1" applyFill="1" applyBorder="1" applyAlignment="1">
      <alignment horizontal="center" vertical="center"/>
    </xf>
    <xf numFmtId="0" fontId="0" fillId="0" borderId="0" xfId="0" applyAlignment="1">
      <alignment vertical="top" wrapText="1"/>
    </xf>
    <xf numFmtId="0" fontId="0" fillId="0" borderId="26" xfId="0" applyBorder="1" applyAlignment="1">
      <alignment vertical="center" wrapText="1"/>
    </xf>
    <xf numFmtId="0" fontId="0" fillId="15" borderId="25" xfId="0" applyFill="1" applyBorder="1" applyAlignment="1">
      <alignment horizontal="center" vertical="center" wrapText="1"/>
    </xf>
    <xf numFmtId="165" fontId="0" fillId="10" borderId="24" xfId="0" applyNumberFormat="1" applyFill="1" applyBorder="1" applyAlignment="1">
      <alignment horizontal="center" vertical="center"/>
    </xf>
    <xf numFmtId="0" fontId="20" fillId="0" borderId="24" xfId="0" applyFont="1" applyBorder="1" applyAlignment="1">
      <alignment horizontal="center" vertical="center"/>
    </xf>
    <xf numFmtId="0" fontId="20" fillId="16" borderId="24" xfId="0" applyFont="1" applyFill="1" applyBorder="1" applyAlignment="1">
      <alignment horizontal="center" vertical="center"/>
    </xf>
    <xf numFmtId="0" fontId="20" fillId="0" borderId="24" xfId="0" applyFont="1" applyBorder="1" applyAlignment="1">
      <alignment horizontal="center" vertical="center" wrapText="1"/>
    </xf>
    <xf numFmtId="165" fontId="20" fillId="10" borderId="24" xfId="0" applyNumberFormat="1" applyFont="1" applyFill="1" applyBorder="1" applyAlignment="1">
      <alignment horizontal="center" vertical="center"/>
    </xf>
    <xf numFmtId="165" fontId="20" fillId="0" borderId="24" xfId="0" applyNumberFormat="1" applyFont="1" applyBorder="1" applyAlignment="1">
      <alignment horizontal="center" vertical="center"/>
    </xf>
    <xf numFmtId="0" fontId="20" fillId="0" borderId="24" xfId="0" applyFont="1" applyBorder="1" applyAlignment="1">
      <alignment horizontal="left" vertical="center" wrapText="1"/>
    </xf>
    <xf numFmtId="0" fontId="20" fillId="15" borderId="24" xfId="0" applyFont="1" applyFill="1" applyBorder="1" applyAlignment="1">
      <alignment horizontal="center" vertical="center" wrapText="1"/>
    </xf>
    <xf numFmtId="0" fontId="20" fillId="15" borderId="24" xfId="0" applyFont="1" applyFill="1" applyBorder="1" applyAlignment="1">
      <alignment vertical="center" wrapText="1"/>
    </xf>
    <xf numFmtId="0" fontId="20" fillId="14" borderId="24" xfId="0" applyFont="1" applyFill="1" applyBorder="1" applyAlignment="1">
      <alignment horizontal="center" vertical="center" wrapText="1"/>
    </xf>
    <xf numFmtId="165" fontId="20" fillId="14" borderId="24" xfId="0" applyNumberFormat="1" applyFont="1" applyFill="1" applyBorder="1" applyAlignment="1">
      <alignment horizontal="center" vertical="center"/>
    </xf>
    <xf numFmtId="0" fontId="20" fillId="14" borderId="24" xfId="0" applyFont="1" applyFill="1" applyBorder="1" applyAlignment="1">
      <alignment horizontal="center" vertical="center"/>
    </xf>
    <xf numFmtId="0" fontId="20" fillId="14" borderId="24" xfId="0" applyFont="1" applyFill="1" applyBorder="1" applyAlignment="1">
      <alignment horizontal="left" vertical="center" wrapText="1"/>
    </xf>
    <xf numFmtId="11" fontId="0" fillId="0" borderId="24" xfId="0" applyNumberFormat="1" applyBorder="1" applyAlignment="1">
      <alignment vertical="center" wrapText="1"/>
    </xf>
    <xf numFmtId="11" fontId="0" fillId="14" borderId="24" xfId="0" applyNumberFormat="1" applyFill="1" applyBorder="1" applyAlignment="1">
      <alignment vertical="center" wrapText="1"/>
    </xf>
    <xf numFmtId="15" fontId="0" fillId="14" borderId="23" xfId="0" applyNumberFormat="1" applyFill="1" applyBorder="1" applyAlignment="1">
      <alignment wrapText="1"/>
    </xf>
    <xf numFmtId="0" fontId="19" fillId="15" borderId="24" xfId="0" applyFont="1" applyFill="1" applyBorder="1" applyAlignment="1">
      <alignment vertical="center" wrapText="1"/>
    </xf>
    <xf numFmtId="0" fontId="19" fillId="0" borderId="24" xfId="0" applyFont="1" applyBorder="1" applyAlignment="1">
      <alignment horizontal="left" vertical="center" wrapText="1"/>
    </xf>
    <xf numFmtId="0" fontId="19" fillId="15" borderId="24" xfId="0" applyFont="1" applyFill="1" applyBorder="1" applyAlignment="1">
      <alignment horizontal="center" vertical="center" wrapText="1"/>
    </xf>
    <xf numFmtId="0" fontId="0" fillId="14" borderId="24" xfId="0" applyFill="1" applyBorder="1" applyAlignment="1">
      <alignment horizontal="left" vertical="center"/>
    </xf>
    <xf numFmtId="0" fontId="19" fillId="0" borderId="24" xfId="0" applyFont="1" applyBorder="1" applyAlignment="1">
      <alignment horizontal="center" vertical="center"/>
    </xf>
    <xf numFmtId="0" fontId="19" fillId="14" borderId="24" xfId="0" applyFont="1" applyFill="1" applyBorder="1" applyAlignment="1">
      <alignment horizontal="center" vertical="center"/>
    </xf>
    <xf numFmtId="3" fontId="0" fillId="0" borderId="24" xfId="0" applyNumberFormat="1" applyBorder="1" applyAlignment="1">
      <alignment horizontal="center" vertical="center"/>
    </xf>
    <xf numFmtId="15" fontId="0" fillId="0" borderId="0" xfId="0" applyNumberFormat="1"/>
    <xf numFmtId="165" fontId="19" fillId="0" borderId="24" xfId="0" applyNumberFormat="1" applyFont="1" applyBorder="1" applyAlignment="1">
      <alignment horizontal="center" vertical="center" wrapText="1"/>
    </xf>
    <xf numFmtId="0" fontId="55" fillId="0" borderId="24" xfId="0" applyFont="1" applyBorder="1" applyAlignment="1">
      <alignment horizontal="center" vertical="center"/>
    </xf>
    <xf numFmtId="0" fontId="19" fillId="0" borderId="24" xfId="0" applyFont="1" applyBorder="1" applyAlignment="1">
      <alignment horizontal="center" vertical="center" wrapText="1"/>
    </xf>
    <xf numFmtId="0" fontId="0" fillId="11" borderId="24" xfId="0" applyFill="1" applyBorder="1" applyAlignment="1">
      <alignment vertical="center" wrapText="1"/>
    </xf>
    <xf numFmtId="0" fontId="0" fillId="11" borderId="24" xfId="0" applyFill="1" applyBorder="1" applyAlignment="1">
      <alignment horizontal="center" vertical="center" wrapText="1"/>
    </xf>
    <xf numFmtId="11" fontId="0" fillId="11" borderId="24" xfId="0" applyNumberFormat="1" applyFill="1" applyBorder="1" applyAlignment="1">
      <alignment horizontal="center" vertical="center" wrapText="1"/>
    </xf>
    <xf numFmtId="165" fontId="0" fillId="10" borderId="24" xfId="0" applyNumberFormat="1" applyFill="1" applyBorder="1" applyAlignment="1">
      <alignment horizontal="center" vertical="center" wrapText="1"/>
    </xf>
    <xf numFmtId="0" fontId="0" fillId="10" borderId="0" xfId="0" applyFill="1" applyAlignment="1">
      <alignment wrapText="1"/>
    </xf>
    <xf numFmtId="3" fontId="19" fillId="0" borderId="24" xfId="0" applyNumberFormat="1" applyFont="1" applyBorder="1" applyAlignment="1">
      <alignment horizontal="center" vertical="center"/>
    </xf>
    <xf numFmtId="11" fontId="0" fillId="14" borderId="24" xfId="0" applyNumberFormat="1" applyFill="1" applyBorder="1" applyAlignment="1">
      <alignment horizontal="center" vertical="center" wrapText="1"/>
    </xf>
    <xf numFmtId="11" fontId="0" fillId="0" borderId="1" xfId="0" applyNumberFormat="1" applyBorder="1" applyAlignment="1">
      <alignment horizontal="center" vertical="center" wrapText="1"/>
    </xf>
    <xf numFmtId="0" fontId="5" fillId="14" borderId="21" xfId="1" applyFill="1" applyBorder="1" applyAlignment="1">
      <alignment horizontal="center" vertical="center"/>
    </xf>
    <xf numFmtId="0" fontId="0" fillId="14" borderId="21" xfId="0" applyFill="1" applyBorder="1" applyAlignment="1">
      <alignment horizontal="center" vertical="center"/>
    </xf>
    <xf numFmtId="0" fontId="0" fillId="14" borderId="21" xfId="0" applyFill="1" applyBorder="1" applyAlignment="1">
      <alignment horizontal="center" vertical="center" wrapText="1"/>
    </xf>
    <xf numFmtId="165" fontId="0" fillId="14" borderId="21" xfId="0" applyNumberFormat="1" applyFill="1" applyBorder="1" applyAlignment="1">
      <alignment horizontal="center" vertical="center"/>
    </xf>
    <xf numFmtId="0" fontId="19" fillId="14" borderId="21" xfId="0" applyFont="1" applyFill="1" applyBorder="1" applyAlignment="1">
      <alignment horizontal="center" vertical="center"/>
    </xf>
    <xf numFmtId="0" fontId="0" fillId="14" borderId="21" xfId="0" applyFill="1" applyBorder="1" applyAlignment="1">
      <alignment horizontal="left" vertical="center" wrapText="1"/>
    </xf>
    <xf numFmtId="0" fontId="0" fillId="0" borderId="21" xfId="0" applyBorder="1" applyAlignment="1">
      <alignment horizontal="center" vertical="center" wrapText="1"/>
    </xf>
    <xf numFmtId="0" fontId="0" fillId="14" borderId="21" xfId="0" applyFill="1" applyBorder="1" applyAlignment="1">
      <alignment vertical="center" wrapText="1"/>
    </xf>
    <xf numFmtId="15" fontId="0" fillId="14" borderId="1" xfId="0" applyNumberFormat="1" applyFill="1" applyBorder="1"/>
    <xf numFmtId="0" fontId="0" fillId="0" borderId="1" xfId="0" applyBorder="1" applyAlignment="1">
      <alignment horizontal="center" vertical="center"/>
    </xf>
    <xf numFmtId="0" fontId="0" fillId="0" borderId="1" xfId="0" applyBorder="1" applyAlignment="1">
      <alignment horizontal="center" vertical="center" wrapText="1"/>
    </xf>
    <xf numFmtId="165" fontId="0" fillId="0" borderId="1" xfId="0" applyNumberFormat="1" applyBorder="1" applyAlignment="1">
      <alignment horizontal="center" vertical="center"/>
    </xf>
    <xf numFmtId="0" fontId="19"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vertical="center" wrapText="1"/>
    </xf>
    <xf numFmtId="15" fontId="0" fillId="0" borderId="1" xfId="0" applyNumberFormat="1" applyBorder="1"/>
    <xf numFmtId="0" fontId="5" fillId="0" borderId="1" xfId="1" applyBorder="1" applyAlignment="1">
      <alignment horizontal="center" vertical="center"/>
    </xf>
    <xf numFmtId="0" fontId="0" fillId="11" borderId="1" xfId="0" applyFill="1"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11" fontId="0" fillId="0" borderId="1" xfId="0" applyNumberFormat="1" applyBorder="1" applyAlignment="1">
      <alignment horizontal="center" vertical="center"/>
    </xf>
    <xf numFmtId="15" fontId="0" fillId="0" borderId="1" xfId="0" applyNumberFormat="1" applyBorder="1" applyAlignment="1">
      <alignment horizontal="right" vertical="center"/>
    </xf>
    <xf numFmtId="11" fontId="0" fillId="14" borderId="1" xfId="0" applyNumberFormat="1" applyFill="1" applyBorder="1" applyAlignment="1">
      <alignment horizontal="center" vertical="center" wrapText="1"/>
    </xf>
    <xf numFmtId="0" fontId="0" fillId="14" borderId="1" xfId="0" applyFill="1" applyBorder="1" applyAlignment="1">
      <alignment vertical="center" wrapText="1"/>
    </xf>
    <xf numFmtId="16" fontId="19" fillId="0" borderId="1" xfId="0" applyNumberFormat="1" applyFont="1" applyBorder="1" applyAlignment="1">
      <alignment horizontal="center" vertical="center"/>
    </xf>
    <xf numFmtId="0" fontId="0" fillId="0" borderId="1" xfId="0" applyBorder="1" applyAlignment="1">
      <alignment horizontal="left" vertical="top" wrapText="1"/>
    </xf>
    <xf numFmtId="11" fontId="0" fillId="0" borderId="1" xfId="0" applyNumberFormat="1" applyBorder="1" applyAlignment="1">
      <alignment vertical="center" wrapText="1"/>
    </xf>
    <xf numFmtId="0" fontId="5" fillId="0" borderId="23" xfId="1" applyBorder="1" applyAlignment="1">
      <alignment horizontal="center" vertical="center"/>
    </xf>
    <xf numFmtId="0" fontId="0" fillId="0" borderId="23" xfId="0" applyBorder="1" applyAlignment="1">
      <alignment horizontal="center" vertical="center"/>
    </xf>
    <xf numFmtId="165" fontId="0" fillId="0" borderId="23" xfId="0" applyNumberFormat="1" applyBorder="1" applyAlignment="1">
      <alignment horizontal="center" vertical="center"/>
    </xf>
    <xf numFmtId="11" fontId="0" fillId="0" borderId="23" xfId="0" applyNumberFormat="1" applyBorder="1" applyAlignment="1">
      <alignment horizontal="center" vertical="center"/>
    </xf>
    <xf numFmtId="0" fontId="19" fillId="0" borderId="23" xfId="0" applyFont="1" applyBorder="1" applyAlignment="1">
      <alignment horizontal="center" vertical="center"/>
    </xf>
    <xf numFmtId="0" fontId="16" fillId="0" borderId="23" xfId="0" applyFont="1" applyBorder="1" applyAlignment="1">
      <alignment horizontal="center" vertical="center" wrapText="1"/>
    </xf>
    <xf numFmtId="0" fontId="0" fillId="0" borderId="23" xfId="0" applyBorder="1" applyAlignment="1">
      <alignment vertical="center" wrapText="1"/>
    </xf>
    <xf numFmtId="15" fontId="0" fillId="0" borderId="1" xfId="0" applyNumberFormat="1" applyBorder="1" applyAlignment="1">
      <alignment horizontal="center" vertical="center"/>
    </xf>
    <xf numFmtId="0" fontId="0" fillId="0" borderId="0" xfId="0" applyAlignment="1">
      <alignment horizontal="center" vertical="center"/>
    </xf>
    <xf numFmtId="15" fontId="0" fillId="0" borderId="1" xfId="0" applyNumberFormat="1" applyBorder="1" applyAlignment="1">
      <alignment vertical="center"/>
    </xf>
    <xf numFmtId="0" fontId="0" fillId="0" borderId="1" xfId="0" applyBorder="1" applyAlignment="1">
      <alignment wrapText="1"/>
    </xf>
    <xf numFmtId="0" fontId="5" fillId="0" borderId="0" xfId="1" applyFill="1" applyAlignment="1">
      <alignment horizontal="center" vertical="center"/>
    </xf>
    <xf numFmtId="0" fontId="0" fillId="0" borderId="23" xfId="0" applyBorder="1" applyAlignment="1">
      <alignment wrapText="1"/>
    </xf>
    <xf numFmtId="15" fontId="0" fillId="0" borderId="23" xfId="0" applyNumberFormat="1" applyBorder="1" applyAlignment="1">
      <alignment horizontal="right" vertical="center"/>
    </xf>
    <xf numFmtId="0" fontId="5" fillId="0" borderId="1" xfId="1" applyFill="1" applyBorder="1" applyAlignment="1">
      <alignment horizontal="center" vertical="center"/>
    </xf>
    <xf numFmtId="0" fontId="56" fillId="11" borderId="39" xfId="0" applyFont="1" applyFill="1" applyBorder="1" applyAlignment="1">
      <alignment wrapText="1"/>
    </xf>
    <xf numFmtId="0" fontId="0" fillId="11" borderId="1" xfId="0" applyFill="1" applyBorder="1" applyAlignment="1">
      <alignment horizontal="left" vertical="center" wrapText="1"/>
    </xf>
    <xf numFmtId="11" fontId="0" fillId="0" borderId="23" xfId="0" applyNumberFormat="1" applyBorder="1" applyAlignment="1">
      <alignment horizontal="center" vertical="center" wrapText="1"/>
    </xf>
    <xf numFmtId="0" fontId="19" fillId="0" borderId="23" xfId="0" applyFont="1" applyBorder="1" applyAlignment="1">
      <alignment horizontal="center" vertical="center" wrapText="1"/>
    </xf>
    <xf numFmtId="0" fontId="0" fillId="0" borderId="0" xfId="0" applyAlignment="1">
      <alignment horizontal="center"/>
    </xf>
    <xf numFmtId="0" fontId="19" fillId="11" borderId="1" xfId="0" applyFont="1" applyFill="1" applyBorder="1" applyAlignment="1">
      <alignment horizontal="center" wrapText="1"/>
    </xf>
    <xf numFmtId="0" fontId="19" fillId="0" borderId="1" xfId="0" applyFont="1" applyBorder="1" applyAlignment="1">
      <alignment horizontal="center" wrapText="1"/>
    </xf>
    <xf numFmtId="0" fontId="0" fillId="0" borderId="23" xfId="0" applyBorder="1" applyAlignment="1">
      <alignment vertical="center" wrapText="1"/>
      <extLst>
        <ext xmlns:xfpb="http://schemas.microsoft.com/office/spreadsheetml/2022/featurepropertybag" uri="{C7286773-470A-42A8-94C5-96B5CB345126}">
          <xfpb:xfComplement i="0"/>
        </ext>
      </extLst>
    </xf>
    <xf numFmtId="0" fontId="50" fillId="11" borderId="39" xfId="0" applyFont="1" applyFill="1" applyBorder="1"/>
    <xf numFmtId="0" fontId="19" fillId="14" borderId="1" xfId="0" applyFont="1" applyFill="1" applyBorder="1" applyAlignment="1">
      <alignment horizontal="center" wrapText="1"/>
    </xf>
    <xf numFmtId="0" fontId="0" fillId="0" borderId="38" xfId="0" applyBorder="1" applyAlignment="1">
      <alignment horizontal="left" vertical="center" wrapText="1"/>
    </xf>
    <xf numFmtId="165" fontId="0" fillId="0" borderId="0" xfId="0" applyNumberFormat="1" applyAlignment="1">
      <alignment horizontal="center" vertical="center"/>
    </xf>
    <xf numFmtId="0" fontId="57" fillId="2" borderId="24" xfId="0" applyFont="1" applyFill="1" applyBorder="1" applyAlignment="1">
      <alignment horizontal="center" vertical="center"/>
    </xf>
    <xf numFmtId="0" fontId="57" fillId="2" borderId="24" xfId="0" applyFont="1" applyFill="1" applyBorder="1" applyAlignment="1">
      <alignment horizontal="center" vertical="center" wrapText="1"/>
    </xf>
    <xf numFmtId="165" fontId="57" fillId="2" borderId="24" xfId="0" applyNumberFormat="1" applyFont="1" applyFill="1" applyBorder="1" applyAlignment="1">
      <alignment horizontal="center" vertical="center" wrapText="1"/>
    </xf>
    <xf numFmtId="0" fontId="57" fillId="3" borderId="24" xfId="0" applyFont="1" applyFill="1" applyBorder="1" applyAlignment="1">
      <alignment horizontal="center" vertical="center" wrapText="1"/>
    </xf>
    <xf numFmtId="0" fontId="57" fillId="3" borderId="23" xfId="0" applyFont="1" applyFill="1" applyBorder="1" applyAlignment="1">
      <alignment horizontal="center" vertical="center" wrapText="1"/>
    </xf>
    <xf numFmtId="0" fontId="59" fillId="0" borderId="0" xfId="0" applyFont="1"/>
    <xf numFmtId="0" fontId="7" fillId="14" borderId="1" xfId="0" applyFont="1" applyFill="1" applyBorder="1" applyAlignment="1">
      <alignment horizontal="center" wrapText="1"/>
    </xf>
    <xf numFmtId="165" fontId="23" fillId="0" borderId="0" xfId="0" applyNumberFormat="1" applyFont="1" applyAlignment="1">
      <alignment horizontal="center" vertical="center" wrapText="1"/>
    </xf>
    <xf numFmtId="0" fontId="52" fillId="0" borderId="9" xfId="0" applyFont="1" applyBorder="1" applyAlignment="1">
      <alignment horizontal="left" vertical="center"/>
    </xf>
    <xf numFmtId="0" fontId="7" fillId="0" borderId="1" xfId="0" applyFont="1" applyBorder="1" applyAlignment="1">
      <alignment horizontal="center" wrapText="1"/>
    </xf>
    <xf numFmtId="0" fontId="16" fillId="0" borderId="40" xfId="0" applyFont="1" applyBorder="1" applyAlignment="1">
      <alignment horizontal="center" vertical="center" wrapText="1"/>
    </xf>
    <xf numFmtId="0" fontId="0" fillId="0" borderId="41" xfId="0" applyBorder="1" applyAlignment="1">
      <alignment horizontal="center" vertical="center" wrapText="1"/>
    </xf>
    <xf numFmtId="11" fontId="0" fillId="0" borderId="23" xfId="0" quotePrefix="1" applyNumberFormat="1" applyBorder="1" applyAlignment="1">
      <alignment horizontal="center" vertical="center"/>
    </xf>
    <xf numFmtId="11" fontId="50" fillId="0" borderId="38" xfId="0" applyNumberFormat="1" applyFont="1" applyBorder="1" applyAlignment="1">
      <alignment horizontal="left" vertical="center" wrapText="1"/>
    </xf>
    <xf numFmtId="0" fontId="37" fillId="0" borderId="13" xfId="0" applyFont="1" applyBorder="1" applyAlignment="1">
      <alignment horizontal="center" vertical="center" wrapText="1"/>
    </xf>
    <xf numFmtId="0" fontId="37" fillId="0" borderId="14" xfId="0" applyFont="1" applyBorder="1" applyAlignment="1">
      <alignment horizontal="center" vertical="center" wrapText="1"/>
    </xf>
    <xf numFmtId="0" fontId="37" fillId="0" borderId="15" xfId="0" applyFont="1" applyBorder="1" applyAlignment="1">
      <alignment horizontal="center" vertical="center" wrapText="1"/>
    </xf>
    <xf numFmtId="0" fontId="37" fillId="0" borderId="18" xfId="0" applyFont="1" applyBorder="1" applyAlignment="1">
      <alignment horizontal="center" vertical="center" wrapText="1"/>
    </xf>
    <xf numFmtId="0" fontId="37" fillId="0" borderId="12" xfId="0" applyFont="1" applyBorder="1" applyAlignment="1">
      <alignment horizontal="center" vertical="center" wrapText="1"/>
    </xf>
    <xf numFmtId="0" fontId="37" fillId="0" borderId="19" xfId="0" applyFont="1" applyBorder="1" applyAlignment="1">
      <alignment horizontal="center" vertical="center" wrapText="1"/>
    </xf>
    <xf numFmtId="0" fontId="23" fillId="0" borderId="0" xfId="0" applyFont="1" applyAlignment="1">
      <alignment horizontal="center" vertical="center" wrapText="1"/>
    </xf>
    <xf numFmtId="0" fontId="27" fillId="0" borderId="0" xfId="0" applyFont="1" applyAlignment="1">
      <alignment horizontal="right" vertical="center" wrapText="1"/>
    </xf>
    <xf numFmtId="0" fontId="25" fillId="0" borderId="0" xfId="0" applyFont="1" applyAlignment="1">
      <alignment horizontal="center" vertical="center"/>
    </xf>
    <xf numFmtId="0" fontId="42" fillId="0" borderId="0" xfId="0" applyFont="1" applyAlignment="1">
      <alignment horizontal="right" vertical="center" wrapText="1"/>
    </xf>
    <xf numFmtId="0" fontId="33" fillId="0" borderId="30" xfId="0" applyFont="1" applyBorder="1" applyAlignment="1">
      <alignment horizontal="center" vertical="center" wrapText="1"/>
    </xf>
    <xf numFmtId="0" fontId="33" fillId="0" borderId="10" xfId="0" applyFont="1" applyBorder="1" applyAlignment="1">
      <alignment horizontal="center" vertical="center" wrapText="1"/>
    </xf>
    <xf numFmtId="0" fontId="33" fillId="0" borderId="21" xfId="0" applyFont="1" applyBorder="1" applyAlignment="1">
      <alignment horizontal="center" vertical="center" wrapText="1"/>
    </xf>
    <xf numFmtId="0" fontId="33" fillId="0" borderId="5" xfId="0" applyFont="1" applyBorder="1" applyAlignment="1">
      <alignment horizontal="center" vertical="center" wrapText="1"/>
    </xf>
    <xf numFmtId="0" fontId="31" fillId="13" borderId="27" xfId="0" applyFont="1" applyFill="1" applyBorder="1" applyAlignment="1">
      <alignment horizontal="center" vertical="center" wrapText="1"/>
    </xf>
    <xf numFmtId="0" fontId="31" fillId="13" borderId="20" xfId="0" applyFont="1" applyFill="1" applyBorder="1" applyAlignment="1">
      <alignment horizontal="center" vertical="center" wrapText="1"/>
    </xf>
    <xf numFmtId="0" fontId="33" fillId="0" borderId="28" xfId="0" applyFont="1" applyBorder="1" applyAlignment="1">
      <alignment horizontal="center" vertical="center" wrapText="1"/>
    </xf>
    <xf numFmtId="0" fontId="33" fillId="0" borderId="22" xfId="0" applyFont="1" applyBorder="1" applyAlignment="1">
      <alignment horizontal="center" vertical="center" wrapText="1"/>
    </xf>
    <xf numFmtId="0" fontId="33" fillId="0" borderId="29" xfId="0" applyFont="1" applyBorder="1" applyAlignment="1">
      <alignment horizontal="center" vertical="center" wrapText="1"/>
    </xf>
    <xf numFmtId="0" fontId="33" fillId="0" borderId="31" xfId="0" applyFont="1" applyBorder="1" applyAlignment="1">
      <alignment horizontal="center" vertical="center" wrapText="1"/>
    </xf>
    <xf numFmtId="0" fontId="33" fillId="0" borderId="32" xfId="0" applyFont="1" applyBorder="1" applyAlignment="1">
      <alignment horizontal="center" vertical="center" wrapText="1"/>
    </xf>
    <xf numFmtId="0" fontId="33" fillId="0" borderId="34" xfId="0" applyFont="1" applyBorder="1" applyAlignment="1">
      <alignment horizontal="center" vertical="center" wrapText="1"/>
    </xf>
    <xf numFmtId="0" fontId="33" fillId="0" borderId="8" xfId="0" applyFont="1" applyBorder="1" applyAlignment="1">
      <alignment horizontal="center" vertical="center" wrapText="1"/>
    </xf>
    <xf numFmtId="0" fontId="28" fillId="12" borderId="42" xfId="0" applyFont="1" applyFill="1" applyBorder="1" applyAlignment="1">
      <alignment horizontal="center" vertical="center" wrapText="1"/>
    </xf>
    <xf numFmtId="0" fontId="28" fillId="12" borderId="43" xfId="0" applyFont="1" applyFill="1" applyBorder="1" applyAlignment="1">
      <alignment horizontal="center" vertical="center" wrapText="1"/>
    </xf>
    <xf numFmtId="0" fontId="28" fillId="12" borderId="44" xfId="0" applyFont="1" applyFill="1" applyBorder="1" applyAlignment="1">
      <alignment horizontal="center" vertical="center" wrapText="1"/>
    </xf>
    <xf numFmtId="0" fontId="62" fillId="0" borderId="46" xfId="0" applyFont="1" applyBorder="1" applyAlignment="1">
      <alignment horizontal="left" vertical="top" wrapText="1"/>
    </xf>
    <xf numFmtId="0" fontId="62" fillId="0" borderId="0" xfId="0" applyFont="1" applyAlignment="1">
      <alignment horizontal="left" vertical="top" wrapText="1"/>
    </xf>
    <xf numFmtId="0" fontId="62" fillId="0" borderId="17" xfId="0" applyFont="1" applyBorder="1" applyAlignment="1">
      <alignment horizontal="left" vertical="top" wrapText="1"/>
    </xf>
    <xf numFmtId="0" fontId="63" fillId="12" borderId="53" xfId="0" applyFont="1" applyFill="1" applyBorder="1" applyAlignment="1">
      <alignment horizontal="center" vertical="center" wrapText="1"/>
    </xf>
    <xf numFmtId="0" fontId="63" fillId="12" borderId="54" xfId="0" applyFont="1" applyFill="1" applyBorder="1" applyAlignment="1">
      <alignment horizontal="center" vertical="center" wrapText="1"/>
    </xf>
    <xf numFmtId="0" fontId="63" fillId="12" borderId="55" xfId="0" applyFont="1" applyFill="1" applyBorder="1" applyAlignment="1">
      <alignment horizontal="center" vertical="center" wrapText="1"/>
    </xf>
    <xf numFmtId="0" fontId="39" fillId="0" borderId="0" xfId="0" applyFont="1" applyAlignment="1">
      <alignment horizontal="left" vertical="top" wrapText="1"/>
    </xf>
    <xf numFmtId="0" fontId="28" fillId="12" borderId="16" xfId="0" applyFont="1" applyFill="1" applyBorder="1" applyAlignment="1">
      <alignment horizontal="left" vertical="center" wrapText="1"/>
    </xf>
    <xf numFmtId="0" fontId="28" fillId="12" borderId="0" xfId="0" applyFont="1" applyFill="1" applyAlignment="1">
      <alignment horizontal="left" vertical="center" wrapText="1"/>
    </xf>
    <xf numFmtId="0" fontId="28" fillId="12" borderId="48" xfId="0" applyFont="1" applyFill="1" applyBorder="1" applyAlignment="1">
      <alignment horizontal="left" vertical="center" wrapText="1"/>
    </xf>
    <xf numFmtId="0" fontId="61" fillId="0" borderId="13" xfId="0" applyFont="1" applyBorder="1" applyAlignment="1">
      <alignment horizontal="center" vertical="top" wrapText="1"/>
    </xf>
    <xf numFmtId="0" fontId="61" fillId="0" borderId="14" xfId="0" applyFont="1" applyBorder="1" applyAlignment="1">
      <alignment horizontal="center" vertical="top" wrapText="1"/>
    </xf>
    <xf numFmtId="0" fontId="61" fillId="0" borderId="47" xfId="0" applyFont="1" applyBorder="1" applyAlignment="1">
      <alignment horizontal="center" vertical="top" wrapText="1"/>
    </xf>
    <xf numFmtId="0" fontId="61" fillId="0" borderId="16" xfId="0" applyFont="1" applyBorder="1" applyAlignment="1">
      <alignment horizontal="center" vertical="top" wrapText="1"/>
    </xf>
    <xf numFmtId="0" fontId="61" fillId="0" borderId="0" xfId="0" applyFont="1" applyAlignment="1">
      <alignment horizontal="center" vertical="top" wrapText="1"/>
    </xf>
    <xf numFmtId="0" fontId="61" fillId="0" borderId="48" xfId="0" applyFont="1" applyBorder="1" applyAlignment="1">
      <alignment horizontal="center" vertical="top" wrapText="1"/>
    </xf>
    <xf numFmtId="0" fontId="61" fillId="0" borderId="18" xfId="0" applyFont="1" applyBorder="1" applyAlignment="1">
      <alignment horizontal="center" vertical="top" wrapText="1"/>
    </xf>
    <xf numFmtId="0" fontId="61" fillId="0" borderId="12" xfId="0" applyFont="1" applyBorder="1" applyAlignment="1">
      <alignment horizontal="center" vertical="top" wrapText="1"/>
    </xf>
    <xf numFmtId="0" fontId="61" fillId="0" borderId="49" xfId="0" applyFont="1" applyBorder="1" applyAlignment="1">
      <alignment horizontal="center" vertical="top" wrapText="1"/>
    </xf>
    <xf numFmtId="0" fontId="28" fillId="12" borderId="46" xfId="0" applyFont="1" applyFill="1" applyBorder="1" applyAlignment="1">
      <alignment horizontal="left" vertical="center" wrapText="1"/>
    </xf>
    <xf numFmtId="0" fontId="28" fillId="12" borderId="17" xfId="0" applyFont="1" applyFill="1" applyBorder="1" applyAlignment="1">
      <alignment horizontal="left" vertical="center" wrapText="1"/>
    </xf>
    <xf numFmtId="0" fontId="36" fillId="0" borderId="42" xfId="5" applyNumberFormat="1" applyFont="1" applyBorder="1" applyAlignment="1" applyProtection="1">
      <alignment horizontal="left" vertical="top" wrapText="1"/>
      <protection locked="0"/>
    </xf>
    <xf numFmtId="0" fontId="36" fillId="0" borderId="43" xfId="5" applyNumberFormat="1" applyFont="1" applyBorder="1" applyAlignment="1" applyProtection="1">
      <alignment horizontal="left" vertical="top" wrapText="1"/>
      <protection locked="0"/>
    </xf>
    <xf numFmtId="0" fontId="36" fillId="0" borderId="45" xfId="5" applyNumberFormat="1" applyFont="1" applyBorder="1" applyAlignment="1" applyProtection="1">
      <alignment horizontal="left" vertical="top" wrapText="1"/>
      <protection locked="0"/>
    </xf>
    <xf numFmtId="0" fontId="36" fillId="0" borderId="46" xfId="5" applyNumberFormat="1" applyFont="1" applyBorder="1" applyAlignment="1" applyProtection="1">
      <alignment horizontal="left" vertical="top" wrapText="1"/>
      <protection locked="0"/>
    </xf>
    <xf numFmtId="0" fontId="36" fillId="0" borderId="0" xfId="5" applyNumberFormat="1" applyFont="1" applyBorder="1" applyAlignment="1" applyProtection="1">
      <alignment horizontal="left" vertical="top" wrapText="1"/>
      <protection locked="0"/>
    </xf>
    <xf numFmtId="0" fontId="36" fillId="0" borderId="48" xfId="5" applyNumberFormat="1" applyFont="1" applyBorder="1" applyAlignment="1" applyProtection="1">
      <alignment horizontal="left" vertical="top" wrapText="1"/>
      <protection locked="0"/>
    </xf>
    <xf numFmtId="0" fontId="36" fillId="0" borderId="50" xfId="5" applyNumberFormat="1" applyFont="1" applyBorder="1" applyAlignment="1" applyProtection="1">
      <alignment horizontal="center" vertical="center"/>
    </xf>
    <xf numFmtId="0" fontId="36" fillId="0" borderId="51" xfId="5" applyNumberFormat="1" applyFont="1" applyBorder="1" applyAlignment="1" applyProtection="1">
      <alignment horizontal="center" vertical="center"/>
    </xf>
    <xf numFmtId="0" fontId="36" fillId="0" borderId="52" xfId="5" applyNumberFormat="1" applyFont="1" applyBorder="1" applyAlignment="1" applyProtection="1">
      <alignment horizontal="center" vertical="center"/>
    </xf>
    <xf numFmtId="0" fontId="36" fillId="0" borderId="42" xfId="5" applyNumberFormat="1" applyFont="1" applyBorder="1" applyAlignment="1" applyProtection="1">
      <alignment vertical="top" wrapText="1"/>
      <protection locked="0"/>
    </xf>
    <xf numFmtId="0" fontId="36" fillId="0" borderId="43" xfId="5" applyNumberFormat="1" applyFont="1" applyBorder="1" applyAlignment="1" applyProtection="1">
      <alignment vertical="top" wrapText="1"/>
      <protection locked="0"/>
    </xf>
    <xf numFmtId="0" fontId="36" fillId="0" borderId="45" xfId="5" applyNumberFormat="1" applyFont="1" applyBorder="1" applyAlignment="1" applyProtection="1">
      <alignment vertical="top" wrapText="1"/>
      <protection locked="0"/>
    </xf>
    <xf numFmtId="0" fontId="36" fillId="0" borderId="0" xfId="2" applyNumberFormat="1" applyFont="1" applyBorder="1" applyAlignment="1">
      <alignment horizontal="center" vertical="center"/>
    </xf>
    <xf numFmtId="0" fontId="39" fillId="0" borderId="0" xfId="0" applyFont="1" applyAlignment="1">
      <alignment horizontal="center" vertical="top"/>
    </xf>
    <xf numFmtId="0" fontId="39" fillId="0" borderId="12" xfId="0" applyFont="1" applyBorder="1" applyAlignment="1">
      <alignment horizontal="center" vertical="top"/>
    </xf>
    <xf numFmtId="0" fontId="36" fillId="0" borderId="16" xfId="2" applyNumberFormat="1" applyFont="1" applyBorder="1" applyAlignment="1">
      <alignment horizontal="left" vertical="top" wrapText="1"/>
    </xf>
    <xf numFmtId="0" fontId="36" fillId="0" borderId="0" xfId="2" applyNumberFormat="1" applyFont="1" applyBorder="1" applyAlignment="1">
      <alignment horizontal="left" vertical="top" wrapText="1"/>
    </xf>
    <xf numFmtId="0" fontId="36" fillId="0" borderId="17" xfId="2" applyNumberFormat="1" applyFont="1" applyBorder="1" applyAlignment="1">
      <alignment horizontal="left" vertical="top" wrapText="1"/>
    </xf>
    <xf numFmtId="0" fontId="36" fillId="0" borderId="18" xfId="2" applyNumberFormat="1" applyFont="1" applyBorder="1" applyAlignment="1">
      <alignment horizontal="left" vertical="top" wrapText="1"/>
    </xf>
    <xf numFmtId="0" fontId="36" fillId="0" borderId="12" xfId="2" applyNumberFormat="1" applyFont="1" applyBorder="1" applyAlignment="1">
      <alignment horizontal="left" vertical="top" wrapText="1"/>
    </xf>
    <xf numFmtId="0" fontId="36" fillId="0" borderId="19" xfId="2" applyNumberFormat="1" applyFont="1" applyBorder="1" applyAlignment="1">
      <alignment horizontal="left" vertical="top" wrapText="1"/>
    </xf>
    <xf numFmtId="0" fontId="35" fillId="0" borderId="2" xfId="0" applyFont="1" applyBorder="1" applyAlignment="1">
      <alignment horizontal="left" vertical="top" wrapText="1"/>
    </xf>
    <xf numFmtId="0" fontId="35" fillId="0" borderId="7" xfId="0" applyFont="1" applyBorder="1" applyAlignment="1">
      <alignment horizontal="left" vertical="top" wrapText="1"/>
    </xf>
    <xf numFmtId="0" fontId="28" fillId="12" borderId="13" xfId="0" applyFont="1" applyFill="1" applyBorder="1" applyAlignment="1">
      <alignment horizontal="center" vertical="center" wrapText="1"/>
    </xf>
    <xf numFmtId="0" fontId="28" fillId="12" borderId="14" xfId="0" applyFont="1" applyFill="1" applyBorder="1" applyAlignment="1">
      <alignment horizontal="center" vertical="center" wrapText="1"/>
    </xf>
    <xf numFmtId="0" fontId="28" fillId="12" borderId="15" xfId="0" applyFont="1" applyFill="1" applyBorder="1" applyAlignment="1">
      <alignment horizontal="center" vertical="center" wrapText="1"/>
    </xf>
    <xf numFmtId="0" fontId="1" fillId="12" borderId="13" xfId="0" applyFont="1" applyFill="1" applyBorder="1" applyAlignment="1">
      <alignment vertical="center" wrapText="1"/>
    </xf>
    <xf numFmtId="0" fontId="1" fillId="12" borderId="15" xfId="0" applyFont="1" applyFill="1" applyBorder="1" applyAlignment="1">
      <alignment vertical="center" wrapText="1"/>
    </xf>
    <xf numFmtId="0" fontId="41" fillId="0" borderId="16" xfId="0" applyFont="1" applyBorder="1" applyAlignment="1">
      <alignment horizontal="center" vertical="top" wrapText="1"/>
    </xf>
    <xf numFmtId="0" fontId="41" fillId="0" borderId="0" xfId="0" applyFont="1" applyAlignment="1">
      <alignment horizontal="center" vertical="top" wrapText="1"/>
    </xf>
    <xf numFmtId="0" fontId="41" fillId="0" borderId="17" xfId="0" applyFont="1" applyBorder="1" applyAlignment="1">
      <alignment horizontal="center" vertical="top" wrapText="1"/>
    </xf>
    <xf numFmtId="0" fontId="40" fillId="0" borderId="13" xfId="0" applyFont="1" applyBorder="1" applyAlignment="1">
      <alignment horizontal="center" vertical="top" wrapText="1"/>
    </xf>
    <xf numFmtId="0" fontId="40" fillId="0" borderId="14" xfId="0" applyFont="1" applyBorder="1" applyAlignment="1">
      <alignment horizontal="center" vertical="top" wrapText="1"/>
    </xf>
    <xf numFmtId="0" fontId="40" fillId="0" borderId="15" xfId="0" applyFont="1" applyBorder="1" applyAlignment="1">
      <alignment horizontal="center" vertical="top" wrapText="1"/>
    </xf>
    <xf numFmtId="0" fontId="40" fillId="0" borderId="16" xfId="0" applyFont="1" applyBorder="1" applyAlignment="1">
      <alignment horizontal="center" vertical="top" wrapText="1"/>
    </xf>
    <xf numFmtId="0" fontId="40" fillId="0" borderId="0" xfId="0" applyFont="1" applyAlignment="1">
      <alignment horizontal="center" vertical="top" wrapText="1"/>
    </xf>
    <xf numFmtId="0" fontId="40" fillId="0" borderId="17" xfId="0" applyFont="1" applyBorder="1" applyAlignment="1">
      <alignment horizontal="center" vertical="top" wrapText="1"/>
    </xf>
    <xf numFmtId="0" fontId="40" fillId="0" borderId="18" xfId="0" applyFont="1" applyBorder="1" applyAlignment="1">
      <alignment horizontal="center" vertical="top" wrapText="1"/>
    </xf>
    <xf numFmtId="0" fontId="40" fillId="0" borderId="12" xfId="0" applyFont="1" applyBorder="1" applyAlignment="1">
      <alignment horizontal="center" vertical="top" wrapText="1"/>
    </xf>
    <xf numFmtId="0" fontId="40" fillId="0" borderId="19" xfId="0" applyFont="1" applyBorder="1" applyAlignment="1">
      <alignment horizontal="center" vertical="top" wrapText="1"/>
    </xf>
    <xf numFmtId="0" fontId="34" fillId="0" borderId="0" xfId="0" applyFont="1" applyAlignment="1">
      <alignment horizontal="center" vertical="center" wrapText="1"/>
    </xf>
    <xf numFmtId="0" fontId="12" fillId="10" borderId="0" xfId="0" applyFont="1" applyFill="1" applyAlignment="1">
      <alignment horizontal="center" vertical="center" wrapText="1"/>
    </xf>
    <xf numFmtId="0" fontId="0" fillId="10" borderId="0" xfId="0" applyFill="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7" xfId="0" applyFont="1" applyBorder="1" applyAlignment="1">
      <alignment horizontal="center" vertical="center"/>
    </xf>
  </cellXfs>
  <cellStyles count="6">
    <cellStyle name="Currency" xfId="2" builtinId="4"/>
    <cellStyle name="Currency 2" xfId="5" xr:uid="{A9C0632D-0586-439E-961E-88E468B9F898}"/>
    <cellStyle name="Hyperlink" xfId="1" builtinId="8"/>
    <cellStyle name="Hyperlink 2" xfId="4" xr:uid="{E8858449-175E-4DD1-BAAB-7FDF8039CADA}"/>
    <cellStyle name="Normal" xfId="0" builtinId="0"/>
    <cellStyle name="Normal 2" xfId="3" xr:uid="{57E7A611-C072-43C5-9475-C1CD28B59980}"/>
  </cellStyles>
  <dxfs count="42">
    <dxf>
      <font>
        <b/>
        <i val="0"/>
      </font>
      <fill>
        <patternFill>
          <bgColor rgb="FFFFFF66"/>
        </patternFill>
      </fill>
    </dxf>
    <dxf>
      <font>
        <b/>
        <i val="0"/>
      </font>
      <fill>
        <patternFill>
          <bgColor rgb="FFFF7C80"/>
        </patternFill>
      </fill>
    </dxf>
    <dxf>
      <font>
        <b/>
        <i val="0"/>
      </font>
      <fill>
        <patternFill>
          <bgColor rgb="FFFFC000"/>
        </patternFill>
      </fill>
    </dxf>
    <dxf>
      <font>
        <b/>
        <i val="0"/>
      </font>
      <fill>
        <patternFill>
          <bgColor rgb="FFFFFF66"/>
        </patternFill>
      </fill>
    </dxf>
    <dxf>
      <font>
        <b/>
        <i val="0"/>
      </font>
      <fill>
        <patternFill>
          <bgColor rgb="FFFFC000"/>
        </patternFill>
      </fill>
    </dxf>
    <dxf>
      <font>
        <b/>
        <i val="0"/>
      </font>
      <fill>
        <patternFill>
          <bgColor rgb="FFFF7C80"/>
        </patternFill>
      </fill>
    </dxf>
    <dxf>
      <font>
        <b/>
        <i val="0"/>
      </font>
      <fill>
        <patternFill>
          <bgColor rgb="FFFFFF66"/>
        </patternFill>
      </fill>
    </dxf>
    <dxf>
      <font>
        <b/>
        <i val="0"/>
      </font>
      <fill>
        <patternFill>
          <bgColor rgb="FFFFC000"/>
        </patternFill>
      </fill>
    </dxf>
    <dxf>
      <font>
        <b/>
        <i val="0"/>
      </font>
      <fill>
        <patternFill>
          <bgColor rgb="FFFF7C80"/>
        </patternFill>
      </fill>
    </dxf>
    <dxf>
      <font>
        <b/>
        <i val="0"/>
      </font>
      <fill>
        <patternFill>
          <bgColor rgb="FFFFC000"/>
        </patternFill>
      </fill>
    </dxf>
    <dxf>
      <font>
        <b/>
        <i val="0"/>
      </font>
      <fill>
        <patternFill>
          <bgColor rgb="FFFFFF66"/>
        </patternFill>
      </fill>
    </dxf>
    <dxf>
      <font>
        <b/>
        <i val="0"/>
      </font>
      <fill>
        <patternFill>
          <bgColor rgb="FFFF7C80"/>
        </patternFill>
      </fill>
    </dxf>
    <dxf>
      <font>
        <b/>
        <i val="0"/>
      </font>
      <fill>
        <patternFill>
          <bgColor rgb="FFFFFF66"/>
        </patternFill>
      </fill>
    </dxf>
    <dxf>
      <font>
        <b/>
        <i val="0"/>
      </font>
      <fill>
        <patternFill>
          <bgColor rgb="FFFFC000"/>
        </patternFill>
      </fill>
    </dxf>
    <dxf>
      <font>
        <b/>
        <i val="0"/>
      </font>
      <fill>
        <patternFill>
          <bgColor rgb="FFFF7C80"/>
        </patternFill>
      </fill>
    </dxf>
    <dxf>
      <font>
        <b/>
        <i val="0"/>
      </font>
      <fill>
        <patternFill>
          <bgColor rgb="FFFFC000"/>
        </patternFill>
      </fill>
    </dxf>
    <dxf>
      <font>
        <b/>
        <i val="0"/>
      </font>
      <fill>
        <patternFill>
          <bgColor rgb="FFFFFF66"/>
        </patternFill>
      </fill>
    </dxf>
    <dxf>
      <font>
        <b/>
        <i val="0"/>
      </font>
      <fill>
        <patternFill>
          <bgColor rgb="FFFF7C80"/>
        </patternFill>
      </fill>
    </dxf>
    <dxf>
      <font>
        <b/>
        <i val="0"/>
      </font>
      <fill>
        <patternFill>
          <bgColor rgb="FFFFFF66"/>
        </patternFill>
      </fill>
    </dxf>
    <dxf>
      <font>
        <b/>
        <i val="0"/>
      </font>
      <fill>
        <patternFill>
          <bgColor rgb="FFFFC000"/>
        </patternFill>
      </fill>
    </dxf>
    <dxf>
      <font>
        <b/>
        <i val="0"/>
      </font>
      <fill>
        <patternFill>
          <bgColor rgb="FFFF7C80"/>
        </patternFill>
      </fill>
    </dxf>
    <dxf>
      <fill>
        <patternFill>
          <bgColor rgb="FFFF57C7"/>
        </patternFill>
      </fill>
    </dxf>
    <dxf>
      <fill>
        <patternFill>
          <bgColor rgb="FF33CCFF"/>
        </patternFill>
      </fill>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numFmt numFmtId="20" formatCode="dd/mmm/yy"/>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top style="thin">
          <color indexed="64"/>
        </top>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thin">
          <color theme="1"/>
        </left>
        <right style="thin">
          <color theme="1"/>
        </right>
        <top style="thin">
          <color theme="1"/>
        </top>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numFmt numFmtId="15" formatCode="0.00E+00"/>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numFmt numFmtId="15" formatCode="0.00E+00"/>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numFmt numFmtId="165" formatCode="[$-1009]d/mmm/yy;@"/>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numFmt numFmtId="165" formatCode="[$-1009]d/mmm/yy;@"/>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s>
  <tableStyles count="0" defaultTableStyle="TableStyleMedium2" defaultPivotStyle="PivotStyleLight16"/>
  <colors>
    <mruColors>
      <color rgb="FFFF0000"/>
      <color rgb="FF1CFC1C"/>
      <color rgb="FFE70B0B"/>
      <color rgb="FFF44EC9"/>
      <color rgb="FF9999FF"/>
      <color rgb="FF33CCFF"/>
      <color rgb="FF99FF99"/>
      <color rgb="FFFFFFFF"/>
      <color rgb="FFFF7C80"/>
      <color rgb="FFFF57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externalLink" Target="externalLinks/externalLink3.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24" Type="http://schemas.openxmlformats.org/officeDocument/2006/relationships/customXml" Target="../customXml/item4.xml"/><Relationship Id="rId5" Type="http://schemas.openxmlformats.org/officeDocument/2006/relationships/externalLink" Target="externalLinks/externalLink1.xml"/><Relationship Id="rId15" Type="http://schemas.microsoft.com/office/2022/10/relationships/richValueRel" Target="richData/richValueRel.xml"/><Relationship Id="rId23" Type="http://schemas.openxmlformats.org/officeDocument/2006/relationships/customXml" Target="../customXml/item3.xml"/><Relationship Id="rId10" Type="http://schemas.openxmlformats.org/officeDocument/2006/relationships/externalLink" Target="externalLinks/externalLink6.xml"/><Relationship Id="rId19"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heetMetadata" Target="metadata.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2.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132230</xdr:colOff>
      <xdr:row>0</xdr:row>
      <xdr:rowOff>78329</xdr:rowOff>
    </xdr:from>
    <xdr:to>
      <xdr:col>1</xdr:col>
      <xdr:colOff>365297</xdr:colOff>
      <xdr:row>0</xdr:row>
      <xdr:rowOff>611469</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2230" y="78329"/>
          <a:ext cx="2271619" cy="555466"/>
        </a:xfrm>
        <a:prstGeom prst="rect">
          <a:avLst/>
        </a:prstGeom>
      </xdr:spPr>
    </xdr:pic>
    <xdr:clientData/>
  </xdr:twoCellAnchor>
  <xdr:twoCellAnchor>
    <xdr:from>
      <xdr:col>15</xdr:col>
      <xdr:colOff>708211</xdr:colOff>
      <xdr:row>0</xdr:row>
      <xdr:rowOff>251013</xdr:rowOff>
    </xdr:from>
    <xdr:to>
      <xdr:col>15</xdr:col>
      <xdr:colOff>2277035</xdr:colOff>
      <xdr:row>1</xdr:row>
      <xdr:rowOff>188260</xdr:rowOff>
    </xdr:to>
    <xdr:sp macro="" textlink="">
      <xdr:nvSpPr>
        <xdr:cNvPr id="3" name="Star: 10 Points 2">
          <a:extLst>
            <a:ext uri="{FF2B5EF4-FFF2-40B4-BE49-F238E27FC236}">
              <a16:creationId xmlns:a16="http://schemas.microsoft.com/office/drawing/2014/main" id="{AB72A275-B91C-348B-0B9A-8B76FE230511}"/>
            </a:ext>
          </a:extLst>
        </xdr:cNvPr>
        <xdr:cNvSpPr/>
      </xdr:nvSpPr>
      <xdr:spPr>
        <a:xfrm>
          <a:off x="21344964" y="251013"/>
          <a:ext cx="1568824" cy="672353"/>
        </a:xfrm>
        <a:prstGeom prst="star10">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100"/>
            <a:t>NEW COLUMN</a:t>
          </a:r>
        </a:p>
      </xdr:txBody>
    </xdr:sp>
    <xdr:clientData/>
  </xdr:twoCellAnchor>
  <xdr:twoCellAnchor>
    <xdr:from>
      <xdr:col>12</xdr:col>
      <xdr:colOff>134470</xdr:colOff>
      <xdr:row>0</xdr:row>
      <xdr:rowOff>251012</xdr:rowOff>
    </xdr:from>
    <xdr:to>
      <xdr:col>12</xdr:col>
      <xdr:colOff>1703294</xdr:colOff>
      <xdr:row>1</xdr:row>
      <xdr:rowOff>188259</xdr:rowOff>
    </xdr:to>
    <xdr:sp macro="" textlink="">
      <xdr:nvSpPr>
        <xdr:cNvPr id="4" name="Star: 10 Points 3">
          <a:extLst>
            <a:ext uri="{FF2B5EF4-FFF2-40B4-BE49-F238E27FC236}">
              <a16:creationId xmlns:a16="http://schemas.microsoft.com/office/drawing/2014/main" id="{CFAE0793-2A35-4EA3-BF25-8DDCBFEAF920}"/>
            </a:ext>
          </a:extLst>
        </xdr:cNvPr>
        <xdr:cNvSpPr/>
      </xdr:nvSpPr>
      <xdr:spPr>
        <a:xfrm>
          <a:off x="17992164" y="251012"/>
          <a:ext cx="1568824" cy="672353"/>
        </a:xfrm>
        <a:prstGeom prst="star10">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100"/>
            <a:t>NEW COLUMN</a:t>
          </a:r>
        </a:p>
      </xdr:txBody>
    </xdr:sp>
    <xdr:clientData/>
  </xdr:twoCellAnchor>
  <xdr:twoCellAnchor>
    <xdr:from>
      <xdr:col>2</xdr:col>
      <xdr:colOff>268942</xdr:colOff>
      <xdr:row>0</xdr:row>
      <xdr:rowOff>53788</xdr:rowOff>
    </xdr:from>
    <xdr:to>
      <xdr:col>3</xdr:col>
      <xdr:colOff>188259</xdr:colOff>
      <xdr:row>1</xdr:row>
      <xdr:rowOff>233082</xdr:rowOff>
    </xdr:to>
    <xdr:sp macro="" textlink="">
      <xdr:nvSpPr>
        <xdr:cNvPr id="5" name="Star: 10 Points 4">
          <a:extLst>
            <a:ext uri="{FF2B5EF4-FFF2-40B4-BE49-F238E27FC236}">
              <a16:creationId xmlns:a16="http://schemas.microsoft.com/office/drawing/2014/main" id="{9D50C318-AF4C-4C26-AB3D-B078B7A52388}"/>
            </a:ext>
          </a:extLst>
        </xdr:cNvPr>
        <xdr:cNvSpPr/>
      </xdr:nvSpPr>
      <xdr:spPr>
        <a:xfrm>
          <a:off x="2115671" y="53788"/>
          <a:ext cx="1057835" cy="914400"/>
        </a:xfrm>
        <a:prstGeom prst="star10">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a:t>NEW COLUMN</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530720</xdr:colOff>
      <xdr:row>0</xdr:row>
      <xdr:rowOff>19391</xdr:rowOff>
    </xdr:from>
    <xdr:ext cx="1569682" cy="545236"/>
    <xdr:pic>
      <xdr:nvPicPr>
        <xdr:cNvPr id="2" name="Picture 1">
          <a:extLst>
            <a:ext uri="{FF2B5EF4-FFF2-40B4-BE49-F238E27FC236}">
              <a16:creationId xmlns:a16="http://schemas.microsoft.com/office/drawing/2014/main" id="{C32EBBD1-4A1D-47A5-A65B-D084472026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0720" y="19391"/>
          <a:ext cx="1569682" cy="545236"/>
        </a:xfrm>
        <a:prstGeom prst="rect">
          <a:avLst/>
        </a:prstGeom>
      </xdr:spPr>
    </xdr:pic>
    <xdr:clientData/>
  </xdr:oneCellAnchor>
  <xdr:twoCellAnchor>
    <xdr:from>
      <xdr:col>7</xdr:col>
      <xdr:colOff>76200</xdr:colOff>
      <xdr:row>0</xdr:row>
      <xdr:rowOff>167640</xdr:rowOff>
    </xdr:from>
    <xdr:to>
      <xdr:col>7</xdr:col>
      <xdr:colOff>998220</xdr:colOff>
      <xdr:row>0</xdr:row>
      <xdr:rowOff>167640</xdr:rowOff>
    </xdr:to>
    <xdr:cxnSp macro="">
      <xdr:nvCxnSpPr>
        <xdr:cNvPr id="3" name="Straight Arrow Connector 2">
          <a:extLst>
            <a:ext uri="{FF2B5EF4-FFF2-40B4-BE49-F238E27FC236}">
              <a16:creationId xmlns:a16="http://schemas.microsoft.com/office/drawing/2014/main" id="{81AB25A8-482B-4D2B-890A-57428AC20FA7}"/>
            </a:ext>
          </a:extLst>
        </xdr:cNvPr>
        <xdr:cNvCxnSpPr/>
      </xdr:nvCxnSpPr>
      <xdr:spPr>
        <a:xfrm flipH="1">
          <a:off x="4343400" y="167640"/>
          <a:ext cx="531495" cy="0"/>
        </a:xfrm>
        <a:prstGeom prst="straightConnector1">
          <a:avLst/>
        </a:prstGeom>
        <a:ln w="7620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60960</xdr:colOff>
      <xdr:row>8</xdr:row>
      <xdr:rowOff>876300</xdr:rowOff>
    </xdr:from>
    <xdr:to>
      <xdr:col>7</xdr:col>
      <xdr:colOff>982980</xdr:colOff>
      <xdr:row>8</xdr:row>
      <xdr:rowOff>876300</xdr:rowOff>
    </xdr:to>
    <xdr:cxnSp macro="">
      <xdr:nvCxnSpPr>
        <xdr:cNvPr id="4" name="Straight Arrow Connector 3">
          <a:extLst>
            <a:ext uri="{FF2B5EF4-FFF2-40B4-BE49-F238E27FC236}">
              <a16:creationId xmlns:a16="http://schemas.microsoft.com/office/drawing/2014/main" id="{446BCAE5-8B64-4EF3-A978-114778164230}"/>
            </a:ext>
          </a:extLst>
        </xdr:cNvPr>
        <xdr:cNvCxnSpPr/>
      </xdr:nvCxnSpPr>
      <xdr:spPr>
        <a:xfrm flipH="1">
          <a:off x="4328160" y="1714500"/>
          <a:ext cx="550545" cy="0"/>
        </a:xfrm>
        <a:prstGeom prst="straightConnector1">
          <a:avLst/>
        </a:prstGeom>
        <a:ln w="7620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840441</xdr:colOff>
      <xdr:row>11</xdr:row>
      <xdr:rowOff>22412</xdr:rowOff>
    </xdr:from>
    <xdr:ext cx="307602" cy="304800"/>
    <xdr:sp macro="" textlink="">
      <xdr:nvSpPr>
        <xdr:cNvPr id="5" name="AutoShape 2" descr="1PCS Blue Plastic Conical Plug Internal Thread Anti-Collision And Dust Protection  Hole Plug Round Pipe Joint Rubber Cap">
          <a:extLst>
            <a:ext uri="{FF2B5EF4-FFF2-40B4-BE49-F238E27FC236}">
              <a16:creationId xmlns:a16="http://schemas.microsoft.com/office/drawing/2014/main" id="{F7EBC4E1-29F9-44BD-861D-6D1A0B197B41}"/>
            </a:ext>
          </a:extLst>
        </xdr:cNvPr>
        <xdr:cNvSpPr>
          <a:spLocks noChangeAspect="1" noChangeArrowheads="1"/>
        </xdr:cNvSpPr>
      </xdr:nvSpPr>
      <xdr:spPr bwMode="auto">
        <a:xfrm>
          <a:off x="4879041" y="2117912"/>
          <a:ext cx="307602"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56029</xdr:colOff>
      <xdr:row>10</xdr:row>
      <xdr:rowOff>806824</xdr:rowOff>
    </xdr:from>
    <xdr:ext cx="304800" cy="304800"/>
    <xdr:sp macro="" textlink="">
      <xdr:nvSpPr>
        <xdr:cNvPr id="6" name="AutoShape 3" descr="1PCS Blue Plastic Conical Plug Internal Thread Anti-Collision And Dust Protection  Hole Plug Round Pipe Joint Rubber Cap">
          <a:extLst>
            <a:ext uri="{FF2B5EF4-FFF2-40B4-BE49-F238E27FC236}">
              <a16:creationId xmlns:a16="http://schemas.microsoft.com/office/drawing/2014/main" id="{DEC027BA-F432-43B2-9902-5DBE4804A95F}"/>
            </a:ext>
          </a:extLst>
        </xdr:cNvPr>
        <xdr:cNvSpPr>
          <a:spLocks noChangeAspect="1" noChangeArrowheads="1"/>
        </xdr:cNvSpPr>
      </xdr:nvSpPr>
      <xdr:spPr bwMode="auto">
        <a:xfrm>
          <a:off x="12248029" y="209269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xdr:col>
      <xdr:colOff>61408</xdr:colOff>
      <xdr:row>4</xdr:row>
      <xdr:rowOff>23308</xdr:rowOff>
    </xdr:from>
    <xdr:to>
      <xdr:col>7</xdr:col>
      <xdr:colOff>983428</xdr:colOff>
      <xdr:row>4</xdr:row>
      <xdr:rowOff>23308</xdr:rowOff>
    </xdr:to>
    <xdr:cxnSp macro="">
      <xdr:nvCxnSpPr>
        <xdr:cNvPr id="7" name="Straight Arrow Connector 6">
          <a:extLst>
            <a:ext uri="{FF2B5EF4-FFF2-40B4-BE49-F238E27FC236}">
              <a16:creationId xmlns:a16="http://schemas.microsoft.com/office/drawing/2014/main" id="{2A1E5A6C-2F7D-4CA8-B407-07E30B71219C}"/>
            </a:ext>
          </a:extLst>
        </xdr:cNvPr>
        <xdr:cNvCxnSpPr/>
      </xdr:nvCxnSpPr>
      <xdr:spPr>
        <a:xfrm flipH="1">
          <a:off x="4328608" y="785308"/>
          <a:ext cx="550545" cy="0"/>
        </a:xfrm>
        <a:prstGeom prst="straightConnector1">
          <a:avLst/>
        </a:prstGeom>
        <a:ln w="7620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190500</xdr:colOff>
      <xdr:row>11</xdr:row>
      <xdr:rowOff>1019735</xdr:rowOff>
    </xdr:from>
    <xdr:ext cx="184731" cy="264560"/>
    <xdr:sp macro="" textlink="">
      <xdr:nvSpPr>
        <xdr:cNvPr id="8" name="TextBox 7">
          <a:extLst>
            <a:ext uri="{FF2B5EF4-FFF2-40B4-BE49-F238E27FC236}">
              <a16:creationId xmlns:a16="http://schemas.microsoft.com/office/drawing/2014/main" id="{B6282DF9-CE3D-4062-AD48-E7A497094D9A}"/>
            </a:ext>
          </a:extLst>
        </xdr:cNvPr>
        <xdr:cNvSpPr txBox="1"/>
      </xdr:nvSpPr>
      <xdr:spPr>
        <a:xfrm>
          <a:off x="6286500" y="2286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kern="1200"/>
        </a:p>
      </xdr:txBody>
    </xdr:sp>
    <xdr:clientData/>
  </xdr:oneCellAnchor>
  <xdr:twoCellAnchor>
    <xdr:from>
      <xdr:col>5</xdr:col>
      <xdr:colOff>127697</xdr:colOff>
      <xdr:row>10</xdr:row>
      <xdr:rowOff>722464</xdr:rowOff>
    </xdr:from>
    <xdr:to>
      <xdr:col>5</xdr:col>
      <xdr:colOff>1123125</xdr:colOff>
      <xdr:row>11</xdr:row>
      <xdr:rowOff>204207</xdr:rowOff>
    </xdr:to>
    <xdr:pic>
      <xdr:nvPicPr>
        <xdr:cNvPr id="17" name="Picture 9">
          <a:extLst>
            <a:ext uri="{FF2B5EF4-FFF2-40B4-BE49-F238E27FC236}">
              <a16:creationId xmlns:a16="http://schemas.microsoft.com/office/drawing/2014/main" id="{64867F4E-6B91-4C21-A5F0-DCEA547271F7}"/>
            </a:ext>
            <a:ext uri="{147F2762-F138-4A5C-976F-8EAC2B608ADB}">
              <a16:predDERef xmlns:a16="http://schemas.microsoft.com/office/drawing/2014/main" pred="{B6282DF9-CE3D-4062-AD48-E7A497094D9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08391" y="4880396"/>
          <a:ext cx="995428" cy="6980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469242</xdr:colOff>
      <xdr:row>10</xdr:row>
      <xdr:rowOff>876659</xdr:rowOff>
    </xdr:from>
    <xdr:to>
      <xdr:col>10</xdr:col>
      <xdr:colOff>548972</xdr:colOff>
      <xdr:row>11</xdr:row>
      <xdr:rowOff>283054</xdr:rowOff>
    </xdr:to>
    <xdr:pic>
      <xdr:nvPicPr>
        <xdr:cNvPr id="12" name="Picture 11">
          <a:extLst>
            <a:ext uri="{FF2B5EF4-FFF2-40B4-BE49-F238E27FC236}">
              <a16:creationId xmlns:a16="http://schemas.microsoft.com/office/drawing/2014/main" id="{B4ECC13D-32CF-4C74-9BCF-14F7564C856B}"/>
            </a:ext>
            <a:ext uri="{147F2762-F138-4A5C-976F-8EAC2B608ADB}">
              <a16:predDERef xmlns:a16="http://schemas.microsoft.com/office/drawing/2014/main" pred="{1CB02F85-0D6C-CB3F-1379-BFD47222C3E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779136" y="5034591"/>
          <a:ext cx="700832" cy="622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749300</xdr:colOff>
      <xdr:row>4</xdr:row>
      <xdr:rowOff>48985</xdr:rowOff>
    </xdr:from>
    <xdr:to>
      <xdr:col>5</xdr:col>
      <xdr:colOff>689429</xdr:colOff>
      <xdr:row>5</xdr:row>
      <xdr:rowOff>195943</xdr:rowOff>
    </xdr:to>
    <xdr:pic>
      <xdr:nvPicPr>
        <xdr:cNvPr id="2" name="Picture 1">
          <a:extLst>
            <a:ext uri="{FF2B5EF4-FFF2-40B4-BE49-F238E27FC236}">
              <a16:creationId xmlns:a16="http://schemas.microsoft.com/office/drawing/2014/main" id="{09FBECA2-AEEE-4C8E-9AAD-BC2A54E2EC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8540" y="1451065"/>
          <a:ext cx="1715589" cy="4517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174173</xdr:colOff>
      <xdr:row>14</xdr:row>
      <xdr:rowOff>376315</xdr:rowOff>
    </xdr:from>
    <xdr:to>
      <xdr:col>6</xdr:col>
      <xdr:colOff>1567543</xdr:colOff>
      <xdr:row>16</xdr:row>
      <xdr:rowOff>9664</xdr:rowOff>
    </xdr:to>
    <xdr:pic>
      <xdr:nvPicPr>
        <xdr:cNvPr id="3" name="Picture 2">
          <a:extLst>
            <a:ext uri="{FF2B5EF4-FFF2-40B4-BE49-F238E27FC236}">
              <a16:creationId xmlns:a16="http://schemas.microsoft.com/office/drawing/2014/main" id="{6735BEB6-E41F-42A5-B169-42245B391769}"/>
            </a:ext>
          </a:extLst>
        </xdr:cNvPr>
        <xdr:cNvPicPr>
          <a:picLocks noChangeAspect="1"/>
        </xdr:cNvPicPr>
      </xdr:nvPicPr>
      <xdr:blipFill>
        <a:blip xmlns:r="http://schemas.openxmlformats.org/officeDocument/2006/relationships" r:embed="rId2"/>
        <a:stretch>
          <a:fillRect/>
        </a:stretch>
      </xdr:blipFill>
      <xdr:spPr>
        <a:xfrm>
          <a:off x="9074333" y="5519815"/>
          <a:ext cx="1393370" cy="1584069"/>
        </a:xfrm>
        <a:prstGeom prst="rect">
          <a:avLst/>
        </a:prstGeom>
      </xdr:spPr>
    </xdr:pic>
    <xdr:clientData/>
  </xdr:twoCellAnchor>
  <xdr:twoCellAnchor editAs="oneCell">
    <xdr:from>
      <xdr:col>3</xdr:col>
      <xdr:colOff>174172</xdr:colOff>
      <xdr:row>14</xdr:row>
      <xdr:rowOff>435430</xdr:rowOff>
    </xdr:from>
    <xdr:to>
      <xdr:col>3</xdr:col>
      <xdr:colOff>1502228</xdr:colOff>
      <xdr:row>15</xdr:row>
      <xdr:rowOff>781594</xdr:rowOff>
    </xdr:to>
    <xdr:pic>
      <xdr:nvPicPr>
        <xdr:cNvPr id="4" name="Picture 3">
          <a:extLst>
            <a:ext uri="{FF2B5EF4-FFF2-40B4-BE49-F238E27FC236}">
              <a16:creationId xmlns:a16="http://schemas.microsoft.com/office/drawing/2014/main" id="{A3308B7C-2498-44C5-A6AA-24E13EE19A2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747952" y="5578930"/>
          <a:ext cx="1328056" cy="1321524"/>
        </a:xfrm>
        <a:prstGeom prst="rect">
          <a:avLst/>
        </a:prstGeom>
      </xdr:spPr>
    </xdr:pic>
    <xdr:clientData/>
  </xdr:twoCellAnchor>
  <xdr:twoCellAnchor editAs="oneCell">
    <xdr:from>
      <xdr:col>1</xdr:col>
      <xdr:colOff>500744</xdr:colOff>
      <xdr:row>4</xdr:row>
      <xdr:rowOff>21772</xdr:rowOff>
    </xdr:from>
    <xdr:to>
      <xdr:col>2</xdr:col>
      <xdr:colOff>1110343</xdr:colOff>
      <xdr:row>6</xdr:row>
      <xdr:rowOff>41613</xdr:rowOff>
    </xdr:to>
    <xdr:pic>
      <xdr:nvPicPr>
        <xdr:cNvPr id="5" name="Picture 4">
          <a:extLst>
            <a:ext uri="{FF2B5EF4-FFF2-40B4-BE49-F238E27FC236}">
              <a16:creationId xmlns:a16="http://schemas.microsoft.com/office/drawing/2014/main" id="{9CD3432F-50BC-484C-9466-2BED868A690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10344" y="1423852"/>
          <a:ext cx="1615439" cy="553241"/>
        </a:xfrm>
        <a:prstGeom prst="rect">
          <a:avLst/>
        </a:prstGeom>
      </xdr:spPr>
    </xdr:pic>
    <xdr:clientData/>
  </xdr:twoCellAnchor>
  <xdr:twoCellAnchor>
    <xdr:from>
      <xdr:col>7</xdr:col>
      <xdr:colOff>76200</xdr:colOff>
      <xdr:row>4</xdr:row>
      <xdr:rowOff>167640</xdr:rowOff>
    </xdr:from>
    <xdr:to>
      <xdr:col>7</xdr:col>
      <xdr:colOff>998220</xdr:colOff>
      <xdr:row>4</xdr:row>
      <xdr:rowOff>167640</xdr:rowOff>
    </xdr:to>
    <xdr:cxnSp macro="">
      <xdr:nvCxnSpPr>
        <xdr:cNvPr id="6" name="Straight Arrow Connector 5">
          <a:extLst>
            <a:ext uri="{FF2B5EF4-FFF2-40B4-BE49-F238E27FC236}">
              <a16:creationId xmlns:a16="http://schemas.microsoft.com/office/drawing/2014/main" id="{CE36E100-E625-4B9B-8360-A90CF4BEF640}"/>
            </a:ext>
          </a:extLst>
        </xdr:cNvPr>
        <xdr:cNvCxnSpPr/>
      </xdr:nvCxnSpPr>
      <xdr:spPr>
        <a:xfrm flipH="1">
          <a:off x="10751820" y="1569720"/>
          <a:ext cx="922020" cy="0"/>
        </a:xfrm>
        <a:prstGeom prst="straightConnector1">
          <a:avLst/>
        </a:prstGeom>
        <a:ln w="7620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60960</xdr:colOff>
      <xdr:row>12</xdr:row>
      <xdr:rowOff>876300</xdr:rowOff>
    </xdr:from>
    <xdr:to>
      <xdr:col>7</xdr:col>
      <xdr:colOff>982980</xdr:colOff>
      <xdr:row>12</xdr:row>
      <xdr:rowOff>876300</xdr:rowOff>
    </xdr:to>
    <xdr:cxnSp macro="">
      <xdr:nvCxnSpPr>
        <xdr:cNvPr id="7" name="Straight Arrow Connector 6">
          <a:extLst>
            <a:ext uri="{FF2B5EF4-FFF2-40B4-BE49-F238E27FC236}">
              <a16:creationId xmlns:a16="http://schemas.microsoft.com/office/drawing/2014/main" id="{F46A90BB-03A1-43D5-BC30-8DBCD600AF93}"/>
            </a:ext>
          </a:extLst>
        </xdr:cNvPr>
        <xdr:cNvCxnSpPr/>
      </xdr:nvCxnSpPr>
      <xdr:spPr>
        <a:xfrm flipH="1">
          <a:off x="10736580" y="4069080"/>
          <a:ext cx="922020" cy="0"/>
        </a:xfrm>
        <a:prstGeom prst="straightConnector1">
          <a:avLst/>
        </a:prstGeom>
        <a:ln w="7620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lemmersteelcraft.sharepoint.com/sites/SteelcraftQCILogs/Shared%20Documents/General/LOG-QA-07%20Supplier%20NCR%20Log.xlsx" TargetMode="External"/><Relationship Id="rId1" Type="http://schemas.openxmlformats.org/officeDocument/2006/relationships/externalLinkPath" Target="https://clemmersteelcraft.sharepoint.com/sites/SteelcraftQCILogs/Shared%20Documents/General/LOG-QA-07%20Supplier%20NCR%20Lo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lemmersteelcraft.sharepoint.com/QCI%20Division/QCI%20Business%20System/Logs%20(LOG)/Quality/LOG-QA-03%20Lessons%20Learned%20Log%20-%20Part%20Specific.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lemmersteelcraft.sharepoint.com/QCI%20Division/Quality%20Documentation-QCI/QA%20Files/QCI%20%20KPIs/2016/DATA/November/NC%20Log%20Copies/QCI%20NC%20Log%20-%20Nov.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lemmersteelcraft.sharepoint.com/sites/SteelcraftQCILogs/Shared%20Documents/General/Log%20Archive/Stratford-Woodstock%20NC%20Log%20-%20Archive%2014-Oct-16.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ccharlebois\Desktop\temp%20LOG-QA-13-W%20AOR%20Woodstock%20Calibration%20Log.xlsm" TargetMode="External"/><Relationship Id="rId1" Type="http://schemas.openxmlformats.org/officeDocument/2006/relationships/externalLinkPath" Target="/Users/ccharlebois/Desktop/temp%20LOG-QA-13-W%20AOR%20Woodstock%20Calibration%20Log.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TRATFS1\Public\QCI%20Division\Quality%20Documentation-QCI\NCR%20System\Stop%20Tag\LOG-QA-06%20-%20Stop%20Tag%20L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IDE!!! - Defect Codes QCI"/>
      <sheetName val="HIDE - Auto NCR FORMULAS"/>
      <sheetName val="Supplier NC LOG"/>
      <sheetName val="Auto NCR Form"/>
      <sheetName val="Supplier report"/>
      <sheetName val="charts"/>
      <sheetName val="Sheet1"/>
      <sheetName val="List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 Product Log"/>
      <sheetName val="Lists"/>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CR LOG"/>
      <sheetName val="HIDE!!! - Defect Codes QCI"/>
      <sheetName val=" Defect Codes QCI"/>
      <sheetName val="P2 NCR Groupings"/>
      <sheetName val="P2 Copy for 8D Consolodation"/>
      <sheetName val="Reporting"/>
      <sheetName val="Charts"/>
      <sheetName val="Defect Desc."/>
      <sheetName val="Weekly Whiteboard Update - P2"/>
      <sheetName val="Lists"/>
      <sheetName val="Month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CR LOG"/>
      <sheetName val="QFM-QA-6 - Defect Codes QCI 2-3"/>
      <sheetName val="Reporting"/>
      <sheetName val="Charts"/>
      <sheetName val="Sheet1"/>
      <sheetName val="NCR Groupings"/>
      <sheetName val="Log Copy for 8D Consolodation"/>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og"/>
      <sheetName val="Auto CAL Form"/>
      <sheetName val="Dashboard"/>
      <sheetName val="HIDE-LISTS"/>
      <sheetName val="HIDE-VBA&amp;Formulas"/>
    </sheetNames>
    <sheetDataSet>
      <sheetData sheetId="0"/>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ect Type Lists"/>
      <sheetName val="Cambridge"/>
      <sheetName val="Open Tags"/>
      <sheetName val="CAMBRIDGE Charts"/>
      <sheetName val="Training"/>
      <sheetName val="Stratford"/>
      <sheetName val="STRATFORD Charts"/>
      <sheetName val="Woodstock"/>
      <sheetName val="Woodstock charts"/>
      <sheetName val="Employee ID Summary"/>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D68ED4-D25C-4E3B-A466-B38FA86EB394}" name="Table1" displayName="Table1" ref="A1:S1025" totalsRowShown="0">
  <autoFilter ref="A1:S1025" xr:uid="{92D68ED4-D25C-4E3B-A466-B38FA86EB394}">
    <filterColumn colId="1">
      <filters>
        <filter val="Cambridge"/>
      </filters>
    </filterColumn>
  </autoFilter>
  <sortState xmlns:xlrd2="http://schemas.microsoft.com/office/spreadsheetml/2017/richdata2" ref="A3:S1025">
    <sortCondition ref="B1:B1025"/>
  </sortState>
  <tableColumns count="19">
    <tableColumn id="1" xr3:uid="{1F87AA8A-0BC9-4E0D-8543-788BD0F758F2}" name="Column1" dataDxfId="41" dataCellStyle="Hyperlink"/>
    <tableColumn id="2" xr3:uid="{34991FC3-8EA2-4530-8C3B-98A3E21E3AA2}" name="Column2" dataDxfId="40"/>
    <tableColumn id="3" xr3:uid="{56B5939C-B193-4C2C-B160-C53F0CB2F0AA}" name="Column3" dataDxfId="39"/>
    <tableColumn id="4" xr3:uid="{71B53738-124A-4F71-92F6-02FE633AB9AB}" name="Column4" dataDxfId="38"/>
    <tableColumn id="5" xr3:uid="{E58E8FD5-863D-49D9-9D2C-6F00C62C9BF1}" name="Quality Alert Form_x000a_PRINT ON PINK PAPER" dataDxfId="37"/>
    <tableColumn id="6" xr3:uid="{2F2EF61E-91A5-4C8F-8BA6-822A4ED38EC7}" name="Change Alert Form_x000a_PRINT ON BLUE PAPER" dataDxfId="36"/>
    <tableColumn id="7" xr3:uid="{B1295BC1-4915-41AA-A0D0-BCD96199AF4C}" name="2025" dataDxfId="35"/>
    <tableColumn id="8" xr3:uid="{4B47C59F-EC19-4CFC-8BC4-AF99D097F1F0}" name="Alert Log" dataDxfId="34"/>
    <tableColumn id="9" xr3:uid="{EB9F8A58-8C93-4121-B0DE-0FD461B0CBA6}" name="Column5" dataDxfId="33"/>
    <tableColumn id="10" xr3:uid="{7B0EA02D-EF68-4567-A021-DDE1837729A5}" name="Column6" dataDxfId="32"/>
    <tableColumn id="11" xr3:uid="{C36B51C3-75DC-48C8-86B4-5F13A56F11F8}" name="Column7" dataDxfId="31"/>
    <tableColumn id="12" xr3:uid="{18CD875C-E373-49CB-95FD-1C6CFFD7EAA8}" name="Column8" dataDxfId="30"/>
    <tableColumn id="13" xr3:uid="{1B3C9F96-3764-4805-B9AA-E3BE81E1CBE5}" name="Column9" dataDxfId="29"/>
    <tableColumn id="14" xr3:uid="{8DE806D2-C188-4F52-99A8-49BA65316A31}" name="Column10" dataDxfId="28"/>
    <tableColumn id="15" xr3:uid="{EB18E1A4-98B7-48BC-864E-1D2BBB4A7317}" name="Column11" dataDxfId="27"/>
    <tableColumn id="16" xr3:uid="{62B0A5E6-2CF9-4321-84B1-8139CA779F49}" name="Column12" dataDxfId="26"/>
    <tableColumn id="17" xr3:uid="{7308B72E-B295-4DCC-90D6-19D3E7AFB517}" name="12-Aug-25" dataDxfId="25"/>
    <tableColumn id="18" xr3:uid="{E57FAE23-33D1-4F25-98B9-C390D37AA369}" name="Column13" dataDxfId="24"/>
    <tableColumn id="19" xr3:uid="{A2D6527B-923F-4F20-9FCC-C9B03A307843}" name="Column14" dataDxfId="23" dataCellStyle="Hyper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ccharlebois/AppData/Roaming/Microsoft/Excel/2019/19-027" TargetMode="External"/><Relationship Id="rId671" Type="http://schemas.openxmlformats.org/officeDocument/2006/relationships/hyperlink" Target="2023/23-101" TargetMode="External"/><Relationship Id="rId769" Type="http://schemas.openxmlformats.org/officeDocument/2006/relationships/hyperlink" Target="2024\24-079" TargetMode="External"/><Relationship Id="rId976" Type="http://schemas.openxmlformats.org/officeDocument/2006/relationships/hyperlink" Target="file:///\\stratfs1\public\QCI%20Division\Quality%20Documentation-QCI\Alert%20System\Alerts\2025\25-132" TargetMode="External"/><Relationship Id="rId21" Type="http://schemas.openxmlformats.org/officeDocument/2006/relationships/hyperlink" Target="../../../ccharlebois/AppData/Roaming/Microsoft/Excel/2017/17-019" TargetMode="External"/><Relationship Id="rId324" Type="http://schemas.openxmlformats.org/officeDocument/2006/relationships/hyperlink" Target="2020\20-086" TargetMode="External"/><Relationship Id="rId531" Type="http://schemas.openxmlformats.org/officeDocument/2006/relationships/hyperlink" Target="2022\22-095" TargetMode="External"/><Relationship Id="rId629" Type="http://schemas.openxmlformats.org/officeDocument/2006/relationships/hyperlink" Target="2023\23-061" TargetMode="External"/><Relationship Id="rId170" Type="http://schemas.openxmlformats.org/officeDocument/2006/relationships/hyperlink" Target="../../../ccharlebois/AppData/Roaming/Microsoft/Excel/2019/19-083" TargetMode="External"/><Relationship Id="rId836" Type="http://schemas.openxmlformats.org/officeDocument/2006/relationships/hyperlink" Target="file:///\\stratfs1.clemmertech.net\public\QCI%20Division\Quality%20Documentation-QCI\Alert%20System\Alerts\2024\24-158" TargetMode="External"/><Relationship Id="rId268" Type="http://schemas.openxmlformats.org/officeDocument/2006/relationships/hyperlink" Target="2020\20-021" TargetMode="External"/><Relationship Id="rId475" Type="http://schemas.openxmlformats.org/officeDocument/2006/relationships/hyperlink" Target="2022\22-038" TargetMode="External"/><Relationship Id="rId682" Type="http://schemas.openxmlformats.org/officeDocument/2006/relationships/hyperlink" Target="2023\23-114\23-114.doc" TargetMode="External"/><Relationship Id="rId903" Type="http://schemas.openxmlformats.org/officeDocument/2006/relationships/hyperlink" Target="file:///\\stratfs1.clemmertech.net\public\QCI%20Division\Quality%20Documentation-QCI\Alert%20System\Alerts\2025\25-051" TargetMode="External"/><Relationship Id="rId32" Type="http://schemas.openxmlformats.org/officeDocument/2006/relationships/hyperlink" Target="../../../ccharlebois/AppData/Roaming/Microsoft/Excel/2017/17-034.doc" TargetMode="External"/><Relationship Id="rId128" Type="http://schemas.openxmlformats.org/officeDocument/2006/relationships/hyperlink" Target="../../../ccharlebois/AppData/Roaming/Microsoft/Excel/2019/19-039" TargetMode="External"/><Relationship Id="rId335" Type="http://schemas.openxmlformats.org/officeDocument/2006/relationships/hyperlink" Target="2020\20-095" TargetMode="External"/><Relationship Id="rId542" Type="http://schemas.openxmlformats.org/officeDocument/2006/relationships/hyperlink" Target="2022\22-105" TargetMode="External"/><Relationship Id="rId987" Type="http://schemas.openxmlformats.org/officeDocument/2006/relationships/hyperlink" Target="file:///\\stratfs1\public\QCI%20Division\Quality%20Documentation-QCI\Alert%20System\Alerts\2025\25-143" TargetMode="External"/><Relationship Id="rId181" Type="http://schemas.openxmlformats.org/officeDocument/2006/relationships/hyperlink" Target="../../../ccharlebois/AppData/Roaming/Microsoft/Excel/2019/19-094" TargetMode="External"/><Relationship Id="rId402" Type="http://schemas.openxmlformats.org/officeDocument/2006/relationships/hyperlink" Target="2021\21-163" TargetMode="External"/><Relationship Id="rId847" Type="http://schemas.openxmlformats.org/officeDocument/2006/relationships/hyperlink" Target="file:///\\stratfs1\public\QCI%20Division\Quality%20Documentation-QCI\Alert%20System\Alerts\2024\24-162" TargetMode="External"/><Relationship Id="rId279" Type="http://schemas.openxmlformats.org/officeDocument/2006/relationships/hyperlink" Target="2020\20-042" TargetMode="External"/><Relationship Id="rId486" Type="http://schemas.openxmlformats.org/officeDocument/2006/relationships/hyperlink" Target="2022\22-050" TargetMode="External"/><Relationship Id="rId693" Type="http://schemas.openxmlformats.org/officeDocument/2006/relationships/hyperlink" Target="2024\24-002\QA%2024-002.doc" TargetMode="External"/><Relationship Id="rId707" Type="http://schemas.openxmlformats.org/officeDocument/2006/relationships/hyperlink" Target="2024\24-016" TargetMode="External"/><Relationship Id="rId914" Type="http://schemas.openxmlformats.org/officeDocument/2006/relationships/hyperlink" Target="file:///\\stratfs1.clemmertech.net\public\QCI%20Division\Quality%20Documentation-QCI\Alert%20System\Alerts\2025\25-062" TargetMode="External"/><Relationship Id="rId43" Type="http://schemas.openxmlformats.org/officeDocument/2006/relationships/hyperlink" Target="../../../ccharlebois/AppData/Roaming/Microsoft/Excel/2017/17-047" TargetMode="External"/><Relationship Id="rId139" Type="http://schemas.openxmlformats.org/officeDocument/2006/relationships/hyperlink" Target="../../../ccharlebois/AppData/Roaming/Microsoft/Excel/2019/19-050" TargetMode="External"/><Relationship Id="rId346" Type="http://schemas.openxmlformats.org/officeDocument/2006/relationships/hyperlink" Target="2020\20-109" TargetMode="External"/><Relationship Id="rId553" Type="http://schemas.openxmlformats.org/officeDocument/2006/relationships/hyperlink" Target="2022\22-116" TargetMode="External"/><Relationship Id="rId760" Type="http://schemas.openxmlformats.org/officeDocument/2006/relationships/hyperlink" Target="2024\24-070" TargetMode="External"/><Relationship Id="rId998" Type="http://schemas.openxmlformats.org/officeDocument/2006/relationships/hyperlink" Target="file:///\\stratfs1.clemmertech.net\public\QCI%20Division\Quality%20Documentation-QCI\Alert%20System\Alerts\2025\25-161" TargetMode="External"/><Relationship Id="rId192" Type="http://schemas.openxmlformats.org/officeDocument/2006/relationships/hyperlink" Target="../../../ccharlebois/AppData/Roaming/Microsoft/Excel/2019/19-106" TargetMode="External"/><Relationship Id="rId206" Type="http://schemas.openxmlformats.org/officeDocument/2006/relationships/hyperlink" Target="../../../ccharlebois/AppData/Roaming/Microsoft/Excel/2019/19-120" TargetMode="External"/><Relationship Id="rId413" Type="http://schemas.openxmlformats.org/officeDocument/2006/relationships/hyperlink" Target="2021\21-283" TargetMode="External"/><Relationship Id="rId858" Type="http://schemas.openxmlformats.org/officeDocument/2006/relationships/hyperlink" Target="file:///\\stratfs1.clemmertech.net\public\QCI%20Division\Quality%20Documentation-QCI\Alert%20System\Alerts\2024\24-182" TargetMode="External"/><Relationship Id="rId497" Type="http://schemas.openxmlformats.org/officeDocument/2006/relationships/hyperlink" Target="2022\22-060" TargetMode="External"/><Relationship Id="rId620" Type="http://schemas.openxmlformats.org/officeDocument/2006/relationships/hyperlink" Target="2023\23-053" TargetMode="External"/><Relationship Id="rId718" Type="http://schemas.openxmlformats.org/officeDocument/2006/relationships/hyperlink" Target="2024\24-028" TargetMode="External"/><Relationship Id="rId925" Type="http://schemas.openxmlformats.org/officeDocument/2006/relationships/hyperlink" Target="file:///\\stratfs1.clemmertech.net\public\QCI%20Division\Quality%20Documentation-QCI\Alert%20System\Alerts\2025\25-073" TargetMode="External"/><Relationship Id="rId357" Type="http://schemas.openxmlformats.org/officeDocument/2006/relationships/hyperlink" Target="2020" TargetMode="External"/><Relationship Id="rId54" Type="http://schemas.openxmlformats.org/officeDocument/2006/relationships/hyperlink" Target="../../../ccharlebois/AppData/Roaming/Microsoft/Excel/2018/18-012.doc" TargetMode="External"/><Relationship Id="rId217" Type="http://schemas.openxmlformats.org/officeDocument/2006/relationships/hyperlink" Target="../../../ccharlebois/AppData/Roaming/Microsoft/Excel/2019/19-131" TargetMode="External"/><Relationship Id="rId564" Type="http://schemas.openxmlformats.org/officeDocument/2006/relationships/hyperlink" Target="2022\22-127" TargetMode="External"/><Relationship Id="rId771" Type="http://schemas.openxmlformats.org/officeDocument/2006/relationships/hyperlink" Target="2024\24-081" TargetMode="External"/><Relationship Id="rId869" Type="http://schemas.openxmlformats.org/officeDocument/2006/relationships/hyperlink" Target="file:///\\stratfs1.clemmertech.net\public\QCI%20Division\Quality%20Documentation-QCI\Alert%20System\Alerts\2025\25-013" TargetMode="External"/><Relationship Id="rId424" Type="http://schemas.openxmlformats.org/officeDocument/2006/relationships/hyperlink" Target="2021\21-195" TargetMode="External"/><Relationship Id="rId631" Type="http://schemas.openxmlformats.org/officeDocument/2006/relationships/hyperlink" Target="2023\23-063" TargetMode="External"/><Relationship Id="rId729" Type="http://schemas.openxmlformats.org/officeDocument/2006/relationships/hyperlink" Target="2024\24-039" TargetMode="External"/><Relationship Id="rId270" Type="http://schemas.openxmlformats.org/officeDocument/2006/relationships/hyperlink" Target="2020\20-024" TargetMode="External"/><Relationship Id="rId936" Type="http://schemas.openxmlformats.org/officeDocument/2006/relationships/hyperlink" Target="file:///\\stratfs1.clemmertech.net\public\QCI%20Division\Quality%20Documentation-QCI\Alert%20System\Alerts\2025\25-084" TargetMode="External"/><Relationship Id="rId65" Type="http://schemas.openxmlformats.org/officeDocument/2006/relationships/hyperlink" Target="../../../ccharlebois/AppData/Roaming/Microsoft/Excel/2018/18-023.doc" TargetMode="External"/><Relationship Id="rId130" Type="http://schemas.openxmlformats.org/officeDocument/2006/relationships/hyperlink" Target="../../../ccharlebois/AppData/Roaming/Microsoft/Excel/2019/19-042" TargetMode="External"/><Relationship Id="rId368" Type="http://schemas.openxmlformats.org/officeDocument/2006/relationships/hyperlink" Target="2020\20-131" TargetMode="External"/><Relationship Id="rId575" Type="http://schemas.openxmlformats.org/officeDocument/2006/relationships/hyperlink" Target="2023\23-005" TargetMode="External"/><Relationship Id="rId782" Type="http://schemas.openxmlformats.org/officeDocument/2006/relationships/hyperlink" Target="2024\24-093" TargetMode="External"/><Relationship Id="rId228" Type="http://schemas.openxmlformats.org/officeDocument/2006/relationships/hyperlink" Target="../../../ccharlebois/AppData/Roaming/Microsoft/Excel/2019/19-142" TargetMode="External"/><Relationship Id="rId435" Type="http://schemas.openxmlformats.org/officeDocument/2006/relationships/hyperlink" Target="2022\22-003" TargetMode="External"/><Relationship Id="rId642" Type="http://schemas.openxmlformats.org/officeDocument/2006/relationships/hyperlink" Target="2023\23-074" TargetMode="External"/><Relationship Id="rId281" Type="http://schemas.openxmlformats.org/officeDocument/2006/relationships/hyperlink" Target="2020\20-043" TargetMode="External"/><Relationship Id="rId502" Type="http://schemas.openxmlformats.org/officeDocument/2006/relationships/hyperlink" Target="2022\22-065" TargetMode="External"/><Relationship Id="rId947" Type="http://schemas.openxmlformats.org/officeDocument/2006/relationships/hyperlink" Target="file:///\\stratfs1.clemmertech.net\public\QCI%20Division\Quality%20Documentation-QCI\Alert%20System\Alerts\2025\25-092" TargetMode="External"/><Relationship Id="rId76" Type="http://schemas.openxmlformats.org/officeDocument/2006/relationships/hyperlink" Target="../../../ccharlebois/AppData/Roaming/Microsoft/Excel/2018/18-035" TargetMode="External"/><Relationship Id="rId141" Type="http://schemas.openxmlformats.org/officeDocument/2006/relationships/hyperlink" Target="../../../ccharlebois/AppData/Roaming/Microsoft/Excel/2019/19-052" TargetMode="External"/><Relationship Id="rId379" Type="http://schemas.openxmlformats.org/officeDocument/2006/relationships/hyperlink" Target="2021\20-140" TargetMode="External"/><Relationship Id="rId586" Type="http://schemas.openxmlformats.org/officeDocument/2006/relationships/hyperlink" Target="2023\23-015" TargetMode="External"/><Relationship Id="rId793" Type="http://schemas.openxmlformats.org/officeDocument/2006/relationships/hyperlink" Target="file:///\\stratfs1\public\QCI%20Division\Quality%20Documentation-QCI\Alert%20System\Alerts\2024\24-110" TargetMode="External"/><Relationship Id="rId807" Type="http://schemas.openxmlformats.org/officeDocument/2006/relationships/hyperlink" Target="file:///\\stratfs1.clemmertech.net\public\QCI%20Division\Quality%20Documentation-QCI\Alert%20System\Alerts\2024\24-123" TargetMode="External"/><Relationship Id="rId7" Type="http://schemas.openxmlformats.org/officeDocument/2006/relationships/hyperlink" Target="../../../ccharlebois/AppData/Roaming/Microsoft/Excel/2017/17-006" TargetMode="External"/><Relationship Id="rId239" Type="http://schemas.openxmlformats.org/officeDocument/2006/relationships/hyperlink" Target="2020\20-002" TargetMode="External"/><Relationship Id="rId446" Type="http://schemas.openxmlformats.org/officeDocument/2006/relationships/hyperlink" Target="2022\22-012" TargetMode="External"/><Relationship Id="rId653" Type="http://schemas.openxmlformats.org/officeDocument/2006/relationships/hyperlink" Target="2023\23-084" TargetMode="External"/><Relationship Id="rId292" Type="http://schemas.openxmlformats.org/officeDocument/2006/relationships/hyperlink" Target="2020\20-059" TargetMode="External"/><Relationship Id="rId306" Type="http://schemas.openxmlformats.org/officeDocument/2006/relationships/hyperlink" Target="2020\20-066" TargetMode="External"/><Relationship Id="rId860" Type="http://schemas.openxmlformats.org/officeDocument/2006/relationships/hyperlink" Target="file:///\\stratfs1.clemmertech.net\public\QCI%20Division\Quality%20Documentation-QCI\Alert%20System\Alerts\2025\25-004" TargetMode="External"/><Relationship Id="rId958" Type="http://schemas.openxmlformats.org/officeDocument/2006/relationships/hyperlink" Target="file:///\\stratfs1.clemmertech.net\public\QCI%20Division\Quality%20Documentation-QCI\Alert%20System\Alerts\2025\25-109" TargetMode="External"/><Relationship Id="rId87" Type="http://schemas.openxmlformats.org/officeDocument/2006/relationships/hyperlink" Target="../../../ccharlebois/AppData/Roaming/Microsoft/Excel/2019/19-045.doc" TargetMode="External"/><Relationship Id="rId513" Type="http://schemas.openxmlformats.org/officeDocument/2006/relationships/hyperlink" Target="2022\22-076" TargetMode="External"/><Relationship Id="rId597" Type="http://schemas.openxmlformats.org/officeDocument/2006/relationships/hyperlink" Target="2023\23-024" TargetMode="External"/><Relationship Id="rId720" Type="http://schemas.openxmlformats.org/officeDocument/2006/relationships/hyperlink" Target="2024\24-032" TargetMode="External"/><Relationship Id="rId818" Type="http://schemas.openxmlformats.org/officeDocument/2006/relationships/hyperlink" Target="file:///\\stratfs1.clemmertech.net\public\QCI%20Division\Quality%20Documentation-QCI\Alert%20System\Alerts\2024\24-137" TargetMode="External"/><Relationship Id="rId152" Type="http://schemas.openxmlformats.org/officeDocument/2006/relationships/hyperlink" Target="../../../ccharlebois/AppData/Roaming/Microsoft/Excel/2019/19-064" TargetMode="External"/><Relationship Id="rId457" Type="http://schemas.openxmlformats.org/officeDocument/2006/relationships/hyperlink" Target="2022\22-020" TargetMode="External"/><Relationship Id="rId1003" Type="http://schemas.openxmlformats.org/officeDocument/2006/relationships/hyperlink" Target="file:///\\stratfs1.clemmertech.net\public\QCI%20Division\Quality%20Documentation-QCI\Alert%20System\Alerts\2025\25-168" TargetMode="External"/><Relationship Id="rId664" Type="http://schemas.openxmlformats.org/officeDocument/2006/relationships/hyperlink" Target="2023\23-096" TargetMode="External"/><Relationship Id="rId871" Type="http://schemas.openxmlformats.org/officeDocument/2006/relationships/hyperlink" Target="file:///\\stratfs1.clemmertech.net\public\QCI%20Division\Quality%20Documentation-QCI\Alert%20System\Alerts\2025\24-015" TargetMode="External"/><Relationship Id="rId969" Type="http://schemas.openxmlformats.org/officeDocument/2006/relationships/hyperlink" Target="file:///\\stratfs1\public\QCI%20Division\Quality%20Documentation-QCI\Alert%20System\Alerts\2025\25-123" TargetMode="External"/><Relationship Id="rId14" Type="http://schemas.openxmlformats.org/officeDocument/2006/relationships/hyperlink" Target="../../../ccharlebois/AppData/Roaming/Microsoft/Excel/2017/17-013" TargetMode="External"/><Relationship Id="rId317" Type="http://schemas.openxmlformats.org/officeDocument/2006/relationships/hyperlink" Target="2020\20-078" TargetMode="External"/><Relationship Id="rId524" Type="http://schemas.openxmlformats.org/officeDocument/2006/relationships/hyperlink" Target="2022\22-091" TargetMode="External"/><Relationship Id="rId731" Type="http://schemas.openxmlformats.org/officeDocument/2006/relationships/hyperlink" Target="2024\24-041" TargetMode="External"/><Relationship Id="rId98" Type="http://schemas.openxmlformats.org/officeDocument/2006/relationships/hyperlink" Target="../../../ccharlebois/AppData/Roaming/Microsoft/Excel/2019/19-009" TargetMode="External"/><Relationship Id="rId163" Type="http://schemas.openxmlformats.org/officeDocument/2006/relationships/hyperlink" Target="../../../ccharlebois/AppData/Roaming/Microsoft/Excel/2019/19-077" TargetMode="External"/><Relationship Id="rId370" Type="http://schemas.openxmlformats.org/officeDocument/2006/relationships/hyperlink" Target="2020" TargetMode="External"/><Relationship Id="rId829" Type="http://schemas.openxmlformats.org/officeDocument/2006/relationships/hyperlink" Target="file:///\\stratfs1.clemmertech.net\public\QCI%20Division\Quality%20Documentation-QCI\Alert%20System\Alerts\2024\24-151" TargetMode="External"/><Relationship Id="rId1014" Type="http://schemas.openxmlformats.org/officeDocument/2006/relationships/drawing" Target="../drawings/drawing1.xml"/><Relationship Id="rId230" Type="http://schemas.openxmlformats.org/officeDocument/2006/relationships/hyperlink" Target="../../../ccharlebois/AppData/Roaming/Microsoft/Excel/2019/19-067" TargetMode="External"/><Relationship Id="rId468" Type="http://schemas.openxmlformats.org/officeDocument/2006/relationships/hyperlink" Target="2022\22-031" TargetMode="External"/><Relationship Id="rId675" Type="http://schemas.openxmlformats.org/officeDocument/2006/relationships/hyperlink" Target="2023\23-107" TargetMode="External"/><Relationship Id="rId882" Type="http://schemas.openxmlformats.org/officeDocument/2006/relationships/hyperlink" Target="file:///\\stratfs1.clemmertech.net\public\QCI%20Division\Quality%20Documentation-QCI\Alert%20System\Alerts\2025\25-027" TargetMode="External"/><Relationship Id="rId25" Type="http://schemas.openxmlformats.org/officeDocument/2006/relationships/hyperlink" Target="../../../ccharlebois/AppData/Roaming/Microsoft/Excel/2017/17-025.doc" TargetMode="External"/><Relationship Id="rId328" Type="http://schemas.openxmlformats.org/officeDocument/2006/relationships/hyperlink" Target="2020\20-089" TargetMode="External"/><Relationship Id="rId535" Type="http://schemas.openxmlformats.org/officeDocument/2006/relationships/hyperlink" Target="2022\22-098" TargetMode="External"/><Relationship Id="rId742" Type="http://schemas.openxmlformats.org/officeDocument/2006/relationships/hyperlink" Target="2024\24-053" TargetMode="External"/><Relationship Id="rId174" Type="http://schemas.openxmlformats.org/officeDocument/2006/relationships/hyperlink" Target="../../../ccharlebois/AppData/Roaming/Microsoft/Excel/2019/19-087" TargetMode="External"/><Relationship Id="rId381" Type="http://schemas.openxmlformats.org/officeDocument/2006/relationships/hyperlink" Target="2021\20-142" TargetMode="External"/><Relationship Id="rId602" Type="http://schemas.openxmlformats.org/officeDocument/2006/relationships/hyperlink" Target="2023\23-034" TargetMode="External"/><Relationship Id="rId241" Type="http://schemas.openxmlformats.org/officeDocument/2006/relationships/hyperlink" Target="2020\20-004" TargetMode="External"/><Relationship Id="rId479" Type="http://schemas.openxmlformats.org/officeDocument/2006/relationships/hyperlink" Target="2022\22-041" TargetMode="External"/><Relationship Id="rId686" Type="http://schemas.openxmlformats.org/officeDocument/2006/relationships/hyperlink" Target="2023\23-119\23-119%20Change%20Alert.doc" TargetMode="External"/><Relationship Id="rId893" Type="http://schemas.openxmlformats.org/officeDocument/2006/relationships/hyperlink" Target="file:///\\stratfs1.clemmertech.net\public\QCI%20Division\Quality%20Documentation-QCI\Alert%20System\Alerts\2025\25-039" TargetMode="External"/><Relationship Id="rId907" Type="http://schemas.openxmlformats.org/officeDocument/2006/relationships/hyperlink" Target="file:///\\stratfs1.clemmertech.net\public\QCI%20Division\Quality%20Documentation-QCI\Alert%20System\Alerts\2025\25-055" TargetMode="External"/><Relationship Id="rId36" Type="http://schemas.openxmlformats.org/officeDocument/2006/relationships/hyperlink" Target="../../../ccharlebois/AppData/Roaming/Microsoft/Excel/2017/17-040" TargetMode="External"/><Relationship Id="rId339" Type="http://schemas.openxmlformats.org/officeDocument/2006/relationships/hyperlink" Target="2020\20-100" TargetMode="External"/><Relationship Id="rId546" Type="http://schemas.openxmlformats.org/officeDocument/2006/relationships/hyperlink" Target="2022\22-109" TargetMode="External"/><Relationship Id="rId753" Type="http://schemas.openxmlformats.org/officeDocument/2006/relationships/hyperlink" Target="2024\24-063" TargetMode="External"/><Relationship Id="rId101" Type="http://schemas.openxmlformats.org/officeDocument/2006/relationships/hyperlink" Target="../../../ccharlebois/AppData/Roaming/Microsoft/Excel/2019/19-012" TargetMode="External"/><Relationship Id="rId185" Type="http://schemas.openxmlformats.org/officeDocument/2006/relationships/hyperlink" Target="../../../ccharlebois/AppData/Roaming/Microsoft/Excel/2019/19-100" TargetMode="External"/><Relationship Id="rId406" Type="http://schemas.openxmlformats.org/officeDocument/2006/relationships/hyperlink" Target="2021\21-173" TargetMode="External"/><Relationship Id="rId960" Type="http://schemas.openxmlformats.org/officeDocument/2006/relationships/hyperlink" Target="file:///\\stratfs1.clemmertech.net\public\QCI%20Division\Quality%20Documentation-QCI\Alert%20System\Alerts\2025\25-111" TargetMode="External"/><Relationship Id="rId392" Type="http://schemas.openxmlformats.org/officeDocument/2006/relationships/hyperlink" Target="2021\21-153" TargetMode="External"/><Relationship Id="rId613" Type="http://schemas.openxmlformats.org/officeDocument/2006/relationships/hyperlink" Target="2023\23-045" TargetMode="External"/><Relationship Id="rId697" Type="http://schemas.openxmlformats.org/officeDocument/2006/relationships/hyperlink" Target="2024\24-006\QA%2024-006.doc" TargetMode="External"/><Relationship Id="rId820" Type="http://schemas.openxmlformats.org/officeDocument/2006/relationships/hyperlink" Target="file:///\\stratfs1.clemmertech.net\public\QCI%20Division\Quality%20Documentation-QCI\Alert%20System\Alerts\2024\24-140" TargetMode="External"/><Relationship Id="rId918" Type="http://schemas.openxmlformats.org/officeDocument/2006/relationships/hyperlink" Target="file:///\\stratfs1.clemmertech.net\public\QCI%20Division\Quality%20Documentation-QCI\Alert%20System\Alerts\2025\25-066" TargetMode="External"/><Relationship Id="rId252" Type="http://schemas.openxmlformats.org/officeDocument/2006/relationships/hyperlink" Target="2020\20-015" TargetMode="External"/><Relationship Id="rId47" Type="http://schemas.openxmlformats.org/officeDocument/2006/relationships/hyperlink" Target="../../../ccharlebois/AppData/Roaming/Microsoft/Excel/2018/18-005.doc" TargetMode="External"/><Relationship Id="rId112" Type="http://schemas.openxmlformats.org/officeDocument/2006/relationships/hyperlink" Target="../../../ccharlebois/AppData/Roaming/Microsoft/Excel/2019/19-023" TargetMode="External"/><Relationship Id="rId557" Type="http://schemas.openxmlformats.org/officeDocument/2006/relationships/hyperlink" Target="2022\22-120" TargetMode="External"/><Relationship Id="rId764" Type="http://schemas.openxmlformats.org/officeDocument/2006/relationships/hyperlink" Target="2024\24-074" TargetMode="External"/><Relationship Id="rId971" Type="http://schemas.openxmlformats.org/officeDocument/2006/relationships/hyperlink" Target="file:///\\stratfs1\public\QCI%20Division\Quality%20Documentation-QCI\Alert%20System\Alerts\2025\25-125" TargetMode="External"/><Relationship Id="rId196" Type="http://schemas.openxmlformats.org/officeDocument/2006/relationships/hyperlink" Target="../../../ccharlebois/AppData/Roaming/Microsoft/Excel/2019/19-109" TargetMode="External"/><Relationship Id="rId417" Type="http://schemas.openxmlformats.org/officeDocument/2006/relationships/hyperlink" Target="2021\21-187" TargetMode="External"/><Relationship Id="rId624" Type="http://schemas.openxmlformats.org/officeDocument/2006/relationships/hyperlink" Target="2023\23-051" TargetMode="External"/><Relationship Id="rId831" Type="http://schemas.openxmlformats.org/officeDocument/2006/relationships/hyperlink" Target="file:///\\stratfs1.clemmertech.net\public\QCI%20Division\Quality%20Documentation-QCI\Alert%20System\Alerts\2024\24-153" TargetMode="External"/><Relationship Id="rId263" Type="http://schemas.openxmlformats.org/officeDocument/2006/relationships/hyperlink" Target="2020\20-031" TargetMode="External"/><Relationship Id="rId470" Type="http://schemas.openxmlformats.org/officeDocument/2006/relationships/hyperlink" Target="2022\22-033" TargetMode="External"/><Relationship Id="rId929" Type="http://schemas.openxmlformats.org/officeDocument/2006/relationships/hyperlink" Target="file:///\\stratfs1.clemmertech.net\public\QCI%20Division\Quality%20Documentation-QCI\Alert%20System\Alerts\2025\25-077" TargetMode="External"/><Relationship Id="rId58" Type="http://schemas.openxmlformats.org/officeDocument/2006/relationships/hyperlink" Target="../../../ccharlebois/AppData/Roaming/Microsoft/Excel/2018/18-016.doc" TargetMode="External"/><Relationship Id="rId123" Type="http://schemas.openxmlformats.org/officeDocument/2006/relationships/hyperlink" Target="../../../ccharlebois/AppData/Roaming/Microsoft/Excel/2019/19-034" TargetMode="External"/><Relationship Id="rId330" Type="http://schemas.openxmlformats.org/officeDocument/2006/relationships/hyperlink" Target="2020\20-091" TargetMode="External"/><Relationship Id="rId568" Type="http://schemas.openxmlformats.org/officeDocument/2006/relationships/hyperlink" Target="2022\22-131" TargetMode="External"/><Relationship Id="rId775" Type="http://schemas.openxmlformats.org/officeDocument/2006/relationships/hyperlink" Target="2024\24-085" TargetMode="External"/><Relationship Id="rId982" Type="http://schemas.openxmlformats.org/officeDocument/2006/relationships/hyperlink" Target="file:///\\stratfs1\public\QCI%20Division\Quality%20Documentation-QCI\Alert%20System\Alerts\2025\25-139" TargetMode="External"/><Relationship Id="rId428" Type="http://schemas.openxmlformats.org/officeDocument/2006/relationships/hyperlink" Target="2021\21-202" TargetMode="External"/><Relationship Id="rId635" Type="http://schemas.openxmlformats.org/officeDocument/2006/relationships/hyperlink" Target="2023\23-067" TargetMode="External"/><Relationship Id="rId842" Type="http://schemas.openxmlformats.org/officeDocument/2006/relationships/hyperlink" Target="file:///\\stratfs1.clemmertech.net\public\QCI%20Division\Quality%20Documentation-QCI\Alert%20System\Alerts\2024\24-167" TargetMode="External"/><Relationship Id="rId274" Type="http://schemas.openxmlformats.org/officeDocument/2006/relationships/hyperlink" Target="2020\20-036" TargetMode="External"/><Relationship Id="rId481" Type="http://schemas.openxmlformats.org/officeDocument/2006/relationships/hyperlink" Target="2022\22-044" TargetMode="External"/><Relationship Id="rId702" Type="http://schemas.openxmlformats.org/officeDocument/2006/relationships/hyperlink" Target="2024/24-011" TargetMode="External"/><Relationship Id="rId69" Type="http://schemas.openxmlformats.org/officeDocument/2006/relationships/hyperlink" Target="../../../ccharlebois/AppData/Roaming/Microsoft/Excel/2018/18-027.doc" TargetMode="External"/><Relationship Id="rId134" Type="http://schemas.openxmlformats.org/officeDocument/2006/relationships/hyperlink" Target="../../../ccharlebois/AppData/Roaming/Microsoft/Excel/2019/19-045" TargetMode="External"/><Relationship Id="rId579" Type="http://schemas.openxmlformats.org/officeDocument/2006/relationships/hyperlink" Target="2023\23-009" TargetMode="External"/><Relationship Id="rId786" Type="http://schemas.openxmlformats.org/officeDocument/2006/relationships/hyperlink" Target="2024/24-097" TargetMode="External"/><Relationship Id="rId993" Type="http://schemas.openxmlformats.org/officeDocument/2006/relationships/hyperlink" Target="file:///\\stratfs1\public\QCI%20Division\Quality%20Documentation-QCI\Alert%20System\Alerts\2025\25-150" TargetMode="External"/><Relationship Id="rId341" Type="http://schemas.openxmlformats.org/officeDocument/2006/relationships/hyperlink" Target="2020\20-102" TargetMode="External"/><Relationship Id="rId439" Type="http://schemas.openxmlformats.org/officeDocument/2006/relationships/hyperlink" Target="2022\22-005" TargetMode="External"/><Relationship Id="rId646" Type="http://schemas.openxmlformats.org/officeDocument/2006/relationships/hyperlink" Target="2023\23-078" TargetMode="External"/><Relationship Id="rId201" Type="http://schemas.openxmlformats.org/officeDocument/2006/relationships/hyperlink" Target="../../../ccharlebois/AppData/Roaming/Microsoft/Excel/2019/19-114" TargetMode="External"/><Relationship Id="rId285" Type="http://schemas.openxmlformats.org/officeDocument/2006/relationships/hyperlink" Target="2020\20-047" TargetMode="External"/><Relationship Id="rId506" Type="http://schemas.openxmlformats.org/officeDocument/2006/relationships/hyperlink" Target="2022\22-069" TargetMode="External"/><Relationship Id="rId853" Type="http://schemas.openxmlformats.org/officeDocument/2006/relationships/hyperlink" Target="file:///\\stratfs1.clemmertech.net\public\QCI%20Division\Quality%20Documentation-QCI\Alert%20System\Alerts\2024\24-177" TargetMode="External"/><Relationship Id="rId492" Type="http://schemas.openxmlformats.org/officeDocument/2006/relationships/hyperlink" Target="2022\22-056" TargetMode="External"/><Relationship Id="rId713" Type="http://schemas.openxmlformats.org/officeDocument/2006/relationships/hyperlink" Target="2024\24-023" TargetMode="External"/><Relationship Id="rId797" Type="http://schemas.openxmlformats.org/officeDocument/2006/relationships/hyperlink" Target="file:///\\stratfs1.clemmertech.net\public\QCI%20Division\Quality%20Documentation-QCI\Alert%20System\Alerts\2024\24-114" TargetMode="External"/><Relationship Id="rId920" Type="http://schemas.openxmlformats.org/officeDocument/2006/relationships/hyperlink" Target="file:///\\stratfs1.clemmertech.net\public\QCI%20Division\Quality%20Documentation-QCI\Alert%20System\Alerts\2025\25-068" TargetMode="External"/><Relationship Id="rId145" Type="http://schemas.openxmlformats.org/officeDocument/2006/relationships/hyperlink" Target="../../../ccharlebois/AppData/Roaming/Microsoft/Excel/2019/19-056" TargetMode="External"/><Relationship Id="rId352" Type="http://schemas.openxmlformats.org/officeDocument/2006/relationships/hyperlink" Target="2020\20-118" TargetMode="External"/><Relationship Id="rId212" Type="http://schemas.openxmlformats.org/officeDocument/2006/relationships/hyperlink" Target="../../../ccharlebois/AppData/Roaming/Microsoft/Excel/2019/19-126" TargetMode="External"/><Relationship Id="rId657" Type="http://schemas.openxmlformats.org/officeDocument/2006/relationships/hyperlink" Target="2023\23-090" TargetMode="External"/><Relationship Id="rId864" Type="http://schemas.openxmlformats.org/officeDocument/2006/relationships/hyperlink" Target="file:///\\stratfs1.clemmertech.net\public\QCI%20Division\Quality%20Documentation-QCI\Alert%20System\Alerts\2025\25-009" TargetMode="External"/><Relationship Id="rId296" Type="http://schemas.openxmlformats.org/officeDocument/2006/relationships/hyperlink" Target="2020\20-055" TargetMode="External"/><Relationship Id="rId517" Type="http://schemas.openxmlformats.org/officeDocument/2006/relationships/hyperlink" Target="2022\22-080" TargetMode="External"/><Relationship Id="rId724" Type="http://schemas.openxmlformats.org/officeDocument/2006/relationships/hyperlink" Target="2024\24-036" TargetMode="External"/><Relationship Id="rId931" Type="http://schemas.openxmlformats.org/officeDocument/2006/relationships/hyperlink" Target="file:///\\stratfs1.clemmertech.net\public\QCI%20Division\Quality%20Documentation-QCI\Alert%20System\Alerts\2025\25-079" TargetMode="External"/><Relationship Id="rId60" Type="http://schemas.openxmlformats.org/officeDocument/2006/relationships/hyperlink" Target="../../../ccharlebois/AppData/Roaming/Microsoft/Excel/2018/18-018.doc" TargetMode="External"/><Relationship Id="rId156" Type="http://schemas.openxmlformats.org/officeDocument/2006/relationships/hyperlink" Target="../../../ccharlebois/AppData/Roaming/Microsoft/Excel/2019/19-069" TargetMode="External"/><Relationship Id="rId363" Type="http://schemas.openxmlformats.org/officeDocument/2006/relationships/hyperlink" Target="2020\20-124" TargetMode="External"/><Relationship Id="rId570" Type="http://schemas.openxmlformats.org/officeDocument/2006/relationships/hyperlink" Target="2022\22-133" TargetMode="External"/><Relationship Id="rId1007" Type="http://schemas.openxmlformats.org/officeDocument/2006/relationships/hyperlink" Target="file:///\\stratfs1.clemmertech.net\public\QCI%20Division\Quality%20Documentation-QCI\Alert%20System\Alerts\2025\25-173" TargetMode="External"/><Relationship Id="rId223" Type="http://schemas.openxmlformats.org/officeDocument/2006/relationships/hyperlink" Target="../../../ccharlebois/AppData/Roaming/Microsoft/Excel/2019/19-137" TargetMode="External"/><Relationship Id="rId430" Type="http://schemas.openxmlformats.org/officeDocument/2006/relationships/hyperlink" Target="2021\21-204" TargetMode="External"/><Relationship Id="rId668" Type="http://schemas.openxmlformats.org/officeDocument/2006/relationships/hyperlink" Target="2023\23-100" TargetMode="External"/><Relationship Id="rId875" Type="http://schemas.openxmlformats.org/officeDocument/2006/relationships/hyperlink" Target="file:///\\stratfs1.clemmertech.net\public\QCI%20Division\Quality%20Documentation-QCI\Alert%20System\Alerts\2025\25-019" TargetMode="External"/><Relationship Id="rId18" Type="http://schemas.openxmlformats.org/officeDocument/2006/relationships/hyperlink" Target="../../../ccharlebois/AppData/Roaming/Microsoft/Excel/2017/17-016" TargetMode="External"/><Relationship Id="rId528" Type="http://schemas.openxmlformats.org/officeDocument/2006/relationships/hyperlink" Target="2022\22-090" TargetMode="External"/><Relationship Id="rId735" Type="http://schemas.openxmlformats.org/officeDocument/2006/relationships/hyperlink" Target="2024\24-045" TargetMode="External"/><Relationship Id="rId942" Type="http://schemas.openxmlformats.org/officeDocument/2006/relationships/hyperlink" Target="file:///\\stratfs1.clemmertech.net\public\QCI%20Division\Quality%20Documentation-QCI\Alert%20System\Alerts\2025\25-091" TargetMode="External"/><Relationship Id="rId167" Type="http://schemas.openxmlformats.org/officeDocument/2006/relationships/hyperlink" Target="../../../ccharlebois/AppData/Roaming/Microsoft/Excel/2019/19-081" TargetMode="External"/><Relationship Id="rId374" Type="http://schemas.openxmlformats.org/officeDocument/2006/relationships/hyperlink" Target="2020\20-136" TargetMode="External"/><Relationship Id="rId581" Type="http://schemas.openxmlformats.org/officeDocument/2006/relationships/hyperlink" Target="2023\23-011" TargetMode="External"/><Relationship Id="rId71" Type="http://schemas.openxmlformats.org/officeDocument/2006/relationships/hyperlink" Target="../../../ccharlebois/AppData/Roaming/Microsoft/Excel/2018/18-030" TargetMode="External"/><Relationship Id="rId234" Type="http://schemas.openxmlformats.org/officeDocument/2006/relationships/hyperlink" Target="../../../ccharlebois/AppData/Roaming/Microsoft/Excel/2019/19-148" TargetMode="External"/><Relationship Id="rId679" Type="http://schemas.openxmlformats.org/officeDocument/2006/relationships/hyperlink" Target="2023\23-111" TargetMode="External"/><Relationship Id="rId802" Type="http://schemas.openxmlformats.org/officeDocument/2006/relationships/hyperlink" Target="file:///\\stratfs1.clemmertech.net\public\QCI%20Division\Quality%20Documentation-QCI\Alert%20System\Alerts\2024\24-119" TargetMode="External"/><Relationship Id="rId886" Type="http://schemas.openxmlformats.org/officeDocument/2006/relationships/hyperlink" Target="file:///\\stratfs1.clemmertech.net\public\QCI%20Division\Quality%20Documentation-QCI\Alert%20System\Alerts\2025\25-031" TargetMode="External"/><Relationship Id="rId2" Type="http://schemas.openxmlformats.org/officeDocument/2006/relationships/hyperlink" Target="../../../ccharlebois/AppData/Roaming/Microsoft/Excel/2016/QA16-002.docx" TargetMode="External"/><Relationship Id="rId29" Type="http://schemas.openxmlformats.org/officeDocument/2006/relationships/hyperlink" Target="../../../ccharlebois/AppData/Roaming/Microsoft/Excel/2017/17-031.doc" TargetMode="External"/><Relationship Id="rId441" Type="http://schemas.openxmlformats.org/officeDocument/2006/relationships/hyperlink" Target="2022\22-007" TargetMode="External"/><Relationship Id="rId539" Type="http://schemas.openxmlformats.org/officeDocument/2006/relationships/hyperlink" Target="2022\22-102" TargetMode="External"/><Relationship Id="rId746" Type="http://schemas.openxmlformats.org/officeDocument/2006/relationships/hyperlink" Target="2024\24-057" TargetMode="External"/><Relationship Id="rId178" Type="http://schemas.openxmlformats.org/officeDocument/2006/relationships/hyperlink" Target="../../../ccharlebois/AppData/Roaming/Microsoft/Excel/2019/19-091" TargetMode="External"/><Relationship Id="rId301" Type="http://schemas.openxmlformats.org/officeDocument/2006/relationships/hyperlink" Target="2020\20-061" TargetMode="External"/><Relationship Id="rId953" Type="http://schemas.openxmlformats.org/officeDocument/2006/relationships/hyperlink" Target="file:///\\stratfs1.clemmertech.net\public\QCI%20Division\Quality%20Documentation-QCI\Alert%20System\Alerts\2025\25-104" TargetMode="External"/><Relationship Id="rId82" Type="http://schemas.openxmlformats.org/officeDocument/2006/relationships/hyperlink" Target="../../../ccharlebois/AppData/Roaming/Microsoft/Excel/2018/18-040" TargetMode="External"/><Relationship Id="rId385" Type="http://schemas.openxmlformats.org/officeDocument/2006/relationships/hyperlink" Target="2021\21-146" TargetMode="External"/><Relationship Id="rId592" Type="http://schemas.openxmlformats.org/officeDocument/2006/relationships/hyperlink" Target="2023/23-022" TargetMode="External"/><Relationship Id="rId606" Type="http://schemas.openxmlformats.org/officeDocument/2006/relationships/hyperlink" Target="2023\23-038" TargetMode="External"/><Relationship Id="rId813" Type="http://schemas.openxmlformats.org/officeDocument/2006/relationships/hyperlink" Target="file:///\\stratfs1.clemmertech.net\public\QCI%20Division\Quality%20Documentation-QCI\Alert%20System\Alerts\2024\24-132" TargetMode="External"/><Relationship Id="rId245" Type="http://schemas.openxmlformats.org/officeDocument/2006/relationships/hyperlink" Target="2020\20-008" TargetMode="External"/><Relationship Id="rId452" Type="http://schemas.openxmlformats.org/officeDocument/2006/relationships/hyperlink" Target="2021\21-189" TargetMode="External"/><Relationship Id="rId897" Type="http://schemas.openxmlformats.org/officeDocument/2006/relationships/hyperlink" Target="file:///\\stratfs1.clemmertech.net\public\QCI%20Division\Quality%20Documentation-QCI\Alert%20System\Alerts\2025\25-044" TargetMode="External"/><Relationship Id="rId105" Type="http://schemas.openxmlformats.org/officeDocument/2006/relationships/hyperlink" Target="../../../ccharlebois/AppData/Roaming/Microsoft/Excel/2019/19-016/19-016.doc" TargetMode="External"/><Relationship Id="rId312" Type="http://schemas.openxmlformats.org/officeDocument/2006/relationships/hyperlink" Target="2020\20-072" TargetMode="External"/><Relationship Id="rId757" Type="http://schemas.openxmlformats.org/officeDocument/2006/relationships/hyperlink" Target="2024\24-067" TargetMode="External"/><Relationship Id="rId964" Type="http://schemas.openxmlformats.org/officeDocument/2006/relationships/hyperlink" Target="file:///\\stratfs1.clemmertech.net\public\QCI%20Division\Quality%20Documentation-QCI\Alert%20System\Alerts\2025\25-117" TargetMode="External"/><Relationship Id="rId93" Type="http://schemas.openxmlformats.org/officeDocument/2006/relationships/hyperlink" Target="../../../ccharlebois/AppData/Roaming/Microsoft/Excel/2019" TargetMode="External"/><Relationship Id="rId189" Type="http://schemas.openxmlformats.org/officeDocument/2006/relationships/hyperlink" Target="../../../ccharlebois/AppData/Roaming/Microsoft/Excel/2019/19-108" TargetMode="External"/><Relationship Id="rId396" Type="http://schemas.openxmlformats.org/officeDocument/2006/relationships/hyperlink" Target="2021\21-157" TargetMode="External"/><Relationship Id="rId617" Type="http://schemas.openxmlformats.org/officeDocument/2006/relationships/hyperlink" Target="2023\23-049" TargetMode="External"/><Relationship Id="rId824" Type="http://schemas.openxmlformats.org/officeDocument/2006/relationships/hyperlink" Target="file:///\\stratfs1.clemmertech.net\public\QCI%20Division\Quality%20Documentation-QCI\Alert%20System\Alerts\2024\24-146" TargetMode="External"/><Relationship Id="rId256" Type="http://schemas.openxmlformats.org/officeDocument/2006/relationships/hyperlink" Target="2020\20-025" TargetMode="External"/><Relationship Id="rId463" Type="http://schemas.openxmlformats.org/officeDocument/2006/relationships/hyperlink" Target="2022\22-026\22-026.doc" TargetMode="External"/><Relationship Id="rId670" Type="http://schemas.openxmlformats.org/officeDocument/2006/relationships/hyperlink" Target="2023\23-103" TargetMode="External"/><Relationship Id="rId116" Type="http://schemas.openxmlformats.org/officeDocument/2006/relationships/hyperlink" Target="../../../ccharlebois/AppData/Roaming/Microsoft/Excel/2019/19-026" TargetMode="External"/><Relationship Id="rId323" Type="http://schemas.openxmlformats.org/officeDocument/2006/relationships/hyperlink" Target="2020\20-084" TargetMode="External"/><Relationship Id="rId530" Type="http://schemas.openxmlformats.org/officeDocument/2006/relationships/hyperlink" Target="2022\22-093" TargetMode="External"/><Relationship Id="rId768" Type="http://schemas.openxmlformats.org/officeDocument/2006/relationships/hyperlink" Target="2024/24-078" TargetMode="External"/><Relationship Id="rId975" Type="http://schemas.openxmlformats.org/officeDocument/2006/relationships/hyperlink" Target="file:///\\stratfs1\public\QCI%20Division\Quality%20Documentation-QCI\Alert%20System\Alerts\2025\25-131" TargetMode="External"/><Relationship Id="rId20" Type="http://schemas.openxmlformats.org/officeDocument/2006/relationships/hyperlink" Target="../../../ccharlebois/AppData/Roaming/Microsoft/Excel/2017/17-017" TargetMode="External"/><Relationship Id="rId628" Type="http://schemas.openxmlformats.org/officeDocument/2006/relationships/hyperlink" Target="2023\23-060" TargetMode="External"/><Relationship Id="rId835" Type="http://schemas.openxmlformats.org/officeDocument/2006/relationships/hyperlink" Target="file:///\\stratfs1.clemmertech.net\public\QCI%20Division\Quality%20Documentation-QCI\Alert%20System\Alerts\2024\24-156" TargetMode="External"/><Relationship Id="rId267" Type="http://schemas.openxmlformats.org/officeDocument/2006/relationships/hyperlink" Target="2020\20-020" TargetMode="External"/><Relationship Id="rId474" Type="http://schemas.openxmlformats.org/officeDocument/2006/relationships/hyperlink" Target="2022\22-037" TargetMode="External"/><Relationship Id="rId127" Type="http://schemas.openxmlformats.org/officeDocument/2006/relationships/hyperlink" Target="../../../ccharlebois/AppData/Roaming/Microsoft/Excel/2019/19-038" TargetMode="External"/><Relationship Id="rId681" Type="http://schemas.openxmlformats.org/officeDocument/2006/relationships/hyperlink" Target="2023\23-113\QA-113.doc" TargetMode="External"/><Relationship Id="rId779" Type="http://schemas.openxmlformats.org/officeDocument/2006/relationships/hyperlink" Target="2024\24-090" TargetMode="External"/><Relationship Id="rId902" Type="http://schemas.openxmlformats.org/officeDocument/2006/relationships/hyperlink" Target="file:///\\stratfs1.clemmertech.net\public\QCI%20Division\Quality%20Documentation-QCI\Alert%20System\Alerts\2025\25-050" TargetMode="External"/><Relationship Id="rId986" Type="http://schemas.openxmlformats.org/officeDocument/2006/relationships/hyperlink" Target="file:///\\stratfs1\public\QCI%20Division\Quality%20Documentation-QCI\Alert%20System\Alerts\2025\25-142" TargetMode="External"/><Relationship Id="rId31" Type="http://schemas.openxmlformats.org/officeDocument/2006/relationships/hyperlink" Target="../../../ccharlebois/AppData/Roaming/Microsoft/Excel/2017/17-033.doc" TargetMode="External"/><Relationship Id="rId334" Type="http://schemas.openxmlformats.org/officeDocument/2006/relationships/hyperlink" Target="2020\20-094" TargetMode="External"/><Relationship Id="rId541" Type="http://schemas.openxmlformats.org/officeDocument/2006/relationships/hyperlink" Target="2022\22-104" TargetMode="External"/><Relationship Id="rId639" Type="http://schemas.openxmlformats.org/officeDocument/2006/relationships/hyperlink" Target="2023/23-071" TargetMode="External"/><Relationship Id="rId180" Type="http://schemas.openxmlformats.org/officeDocument/2006/relationships/hyperlink" Target="../../../ccharlebois/AppData/Roaming/Microsoft/Excel/2019/19-093" TargetMode="External"/><Relationship Id="rId278" Type="http://schemas.openxmlformats.org/officeDocument/2006/relationships/hyperlink" Target="2020\20-040" TargetMode="External"/><Relationship Id="rId401" Type="http://schemas.openxmlformats.org/officeDocument/2006/relationships/hyperlink" Target="2021\21-162" TargetMode="External"/><Relationship Id="rId846" Type="http://schemas.openxmlformats.org/officeDocument/2006/relationships/hyperlink" Target="file:///\\stratfs1.clemmertech.net\public\QCI%20Division\Quality%20Documentation-QCI\Alert%20System\Alerts\2024\24-172" TargetMode="External"/><Relationship Id="rId485" Type="http://schemas.openxmlformats.org/officeDocument/2006/relationships/hyperlink" Target="2022\22-048" TargetMode="External"/><Relationship Id="rId692" Type="http://schemas.openxmlformats.org/officeDocument/2006/relationships/hyperlink" Target="2024\24-001\24-001%20Change%20Alert.doc" TargetMode="External"/><Relationship Id="rId706" Type="http://schemas.openxmlformats.org/officeDocument/2006/relationships/hyperlink" Target="2024\24-015" TargetMode="External"/><Relationship Id="rId913" Type="http://schemas.openxmlformats.org/officeDocument/2006/relationships/hyperlink" Target="file:///\\stratfs1.clemmertech.net\public\QCI%20Division\Quality%20Documentation-QCI\Alert%20System\Alerts\2025\25-061" TargetMode="External"/><Relationship Id="rId42" Type="http://schemas.openxmlformats.org/officeDocument/2006/relationships/hyperlink" Target="../../../ccharlebois/AppData/Roaming/Microsoft/Excel/2017/17-046" TargetMode="External"/><Relationship Id="rId138" Type="http://schemas.openxmlformats.org/officeDocument/2006/relationships/hyperlink" Target="../../../ccharlebois/AppData/Roaming/Microsoft/Excel/2019/19-049" TargetMode="External"/><Relationship Id="rId345" Type="http://schemas.openxmlformats.org/officeDocument/2006/relationships/hyperlink" Target="2020\20-108" TargetMode="External"/><Relationship Id="rId552" Type="http://schemas.openxmlformats.org/officeDocument/2006/relationships/hyperlink" Target="2022\22-112" TargetMode="External"/><Relationship Id="rId997" Type="http://schemas.openxmlformats.org/officeDocument/2006/relationships/hyperlink" Target="file:///\\stratfs1.clemmertech.net\public\QCI%20Division\Quality%20Documentation-QCI\Alert%20System\Alerts\2025\25-160" TargetMode="External"/><Relationship Id="rId191" Type="http://schemas.openxmlformats.org/officeDocument/2006/relationships/hyperlink" Target="../../../ccharlebois/AppData/Roaming/Microsoft/Excel/2019/19-105" TargetMode="External"/><Relationship Id="rId205" Type="http://schemas.openxmlformats.org/officeDocument/2006/relationships/hyperlink" Target="../../../ccharlebois/AppData/Roaming/Microsoft/Excel/2019/19-118" TargetMode="External"/><Relationship Id="rId412" Type="http://schemas.openxmlformats.org/officeDocument/2006/relationships/hyperlink" Target="2021\21-182" TargetMode="External"/><Relationship Id="rId857" Type="http://schemas.openxmlformats.org/officeDocument/2006/relationships/hyperlink" Target="file:///\\stratfs1.clemmertech.net\public\QCI%20Division\Quality%20Documentation-QCI\Alert%20System\Alerts\2024\24-181" TargetMode="External"/><Relationship Id="rId289" Type="http://schemas.openxmlformats.org/officeDocument/2006/relationships/hyperlink" Target="..\..\..\QCI%20Business%20System\Forms%20(FRM)\Engineering\FRM-EN-007%20Change%20Alert.doc" TargetMode="External"/><Relationship Id="rId496" Type="http://schemas.openxmlformats.org/officeDocument/2006/relationships/hyperlink" Target="2022\22-059" TargetMode="External"/><Relationship Id="rId717" Type="http://schemas.openxmlformats.org/officeDocument/2006/relationships/hyperlink" Target="2024\24-027" TargetMode="External"/><Relationship Id="rId924" Type="http://schemas.openxmlformats.org/officeDocument/2006/relationships/hyperlink" Target="file:///\\stratfs1.clemmertech.net\public\QCI%20Division\Quality%20Documentation-QCI\Alert%20System\Alerts\2025\25-072" TargetMode="External"/><Relationship Id="rId53" Type="http://schemas.openxmlformats.org/officeDocument/2006/relationships/hyperlink" Target="../../../ccharlebois/AppData/Roaming/Microsoft/Excel/2018/18-011.doc" TargetMode="External"/><Relationship Id="rId149" Type="http://schemas.openxmlformats.org/officeDocument/2006/relationships/hyperlink" Target="../../../ccharlebois/AppData/Roaming/Microsoft/Excel/2019/19-061" TargetMode="External"/><Relationship Id="rId356" Type="http://schemas.openxmlformats.org/officeDocument/2006/relationships/hyperlink" Target="2020" TargetMode="External"/><Relationship Id="rId563" Type="http://schemas.openxmlformats.org/officeDocument/2006/relationships/hyperlink" Target="2022\22-126" TargetMode="External"/><Relationship Id="rId770" Type="http://schemas.openxmlformats.org/officeDocument/2006/relationships/hyperlink" Target="2024\24-080" TargetMode="External"/><Relationship Id="rId216" Type="http://schemas.openxmlformats.org/officeDocument/2006/relationships/hyperlink" Target="../../../ccharlebois/AppData/Roaming/Microsoft/Excel/2019/19-130" TargetMode="External"/><Relationship Id="rId423" Type="http://schemas.openxmlformats.org/officeDocument/2006/relationships/hyperlink" Target="2021\21-194" TargetMode="External"/><Relationship Id="rId868" Type="http://schemas.openxmlformats.org/officeDocument/2006/relationships/hyperlink" Target="file:///\\stratfs1.clemmertech.net\public\QCI%20Division\Quality%20Documentation-QCI\Alert%20System\Alerts\2025\25-012" TargetMode="External"/><Relationship Id="rId630" Type="http://schemas.openxmlformats.org/officeDocument/2006/relationships/hyperlink" Target="2023/23-062" TargetMode="External"/><Relationship Id="rId728" Type="http://schemas.openxmlformats.org/officeDocument/2006/relationships/hyperlink" Target="2024\24-038" TargetMode="External"/><Relationship Id="rId935" Type="http://schemas.openxmlformats.org/officeDocument/2006/relationships/hyperlink" Target="file:///\\stratfs1.clemmertech.net\public\QCI%20Division\Quality%20Documentation-QCI\Alert%20System\Alerts\2025\25-083" TargetMode="External"/><Relationship Id="rId64" Type="http://schemas.openxmlformats.org/officeDocument/2006/relationships/hyperlink" Target="../../../ccharlebois/AppData/Roaming/Microsoft/Excel/2018/18-022" TargetMode="External"/><Relationship Id="rId367" Type="http://schemas.openxmlformats.org/officeDocument/2006/relationships/hyperlink" Target="2020\20-128" TargetMode="External"/><Relationship Id="rId574" Type="http://schemas.openxmlformats.org/officeDocument/2006/relationships/hyperlink" Target="2023\23-004" TargetMode="External"/><Relationship Id="rId227" Type="http://schemas.openxmlformats.org/officeDocument/2006/relationships/hyperlink" Target="../../../ccharlebois/AppData/Roaming/Microsoft/Excel/2019/19-140" TargetMode="External"/><Relationship Id="rId781" Type="http://schemas.openxmlformats.org/officeDocument/2006/relationships/hyperlink" Target="2024\24-092" TargetMode="External"/><Relationship Id="rId879" Type="http://schemas.openxmlformats.org/officeDocument/2006/relationships/hyperlink" Target="file:///\\stratfs1.clemmertech.net\public\QCI%20Division\Quality%20Documentation-QCI\Alert%20System\Alerts\2025\25-023" TargetMode="External"/><Relationship Id="rId434" Type="http://schemas.openxmlformats.org/officeDocument/2006/relationships/hyperlink" Target="2022\22-002" TargetMode="External"/><Relationship Id="rId641" Type="http://schemas.openxmlformats.org/officeDocument/2006/relationships/hyperlink" Target="2023/23-073" TargetMode="External"/><Relationship Id="rId739" Type="http://schemas.openxmlformats.org/officeDocument/2006/relationships/hyperlink" Target="2024\24-049" TargetMode="External"/><Relationship Id="rId280" Type="http://schemas.openxmlformats.org/officeDocument/2006/relationships/hyperlink" Target="2020\20-041" TargetMode="External"/><Relationship Id="rId501" Type="http://schemas.openxmlformats.org/officeDocument/2006/relationships/hyperlink" Target="2022\22-064" TargetMode="External"/><Relationship Id="rId946" Type="http://schemas.openxmlformats.org/officeDocument/2006/relationships/hyperlink" Target="file:///\\stratfs1.clemmertech.net\public\QCI%20Division\Quality%20Documentation-QCI\Alert%20System\Alerts\2025\25-097" TargetMode="External"/><Relationship Id="rId75" Type="http://schemas.openxmlformats.org/officeDocument/2006/relationships/hyperlink" Target="../../../ccharlebois/AppData/Roaming/Microsoft/Excel/2018/18-034" TargetMode="External"/><Relationship Id="rId140" Type="http://schemas.openxmlformats.org/officeDocument/2006/relationships/hyperlink" Target="../../../ccharlebois/AppData/Roaming/Microsoft/Excel/2019/19-051" TargetMode="External"/><Relationship Id="rId378" Type="http://schemas.openxmlformats.org/officeDocument/2006/relationships/hyperlink" Target="2021\20-139" TargetMode="External"/><Relationship Id="rId585" Type="http://schemas.openxmlformats.org/officeDocument/2006/relationships/hyperlink" Target="2023\23-016" TargetMode="External"/><Relationship Id="rId792" Type="http://schemas.openxmlformats.org/officeDocument/2006/relationships/hyperlink" Target="2024/24-103" TargetMode="External"/><Relationship Id="rId806" Type="http://schemas.openxmlformats.org/officeDocument/2006/relationships/hyperlink" Target="file:///\\stratfs1.clemmertech.net\public\QCI%20Division\Quality%20Documentation-QCI\Alert%20System\Alerts\2024\24-125" TargetMode="External"/><Relationship Id="rId6" Type="http://schemas.openxmlformats.org/officeDocument/2006/relationships/hyperlink" Target="../../../ccharlebois/AppData/Roaming/Microsoft/Excel/2017/17-005" TargetMode="External"/><Relationship Id="rId238" Type="http://schemas.openxmlformats.org/officeDocument/2006/relationships/hyperlink" Target="2020\20-001" TargetMode="External"/><Relationship Id="rId445" Type="http://schemas.openxmlformats.org/officeDocument/2006/relationships/hyperlink" Target="2022\22-011" TargetMode="External"/><Relationship Id="rId652" Type="http://schemas.openxmlformats.org/officeDocument/2006/relationships/hyperlink" Target="2023\23-088" TargetMode="External"/><Relationship Id="rId291" Type="http://schemas.openxmlformats.org/officeDocument/2006/relationships/hyperlink" Target="2020\20-054" TargetMode="External"/><Relationship Id="rId305" Type="http://schemas.openxmlformats.org/officeDocument/2006/relationships/hyperlink" Target="2020\20-065" TargetMode="External"/><Relationship Id="rId512" Type="http://schemas.openxmlformats.org/officeDocument/2006/relationships/hyperlink" Target="2022\22-075" TargetMode="External"/><Relationship Id="rId957" Type="http://schemas.openxmlformats.org/officeDocument/2006/relationships/hyperlink" Target="file:///\\stratfs1.clemmertech.net\public\QCI%20Division\Quality%20Documentation-QCI\Alert%20System\Alerts\2025\25-107" TargetMode="External"/><Relationship Id="rId86" Type="http://schemas.openxmlformats.org/officeDocument/2006/relationships/hyperlink" Target="../../../ccharlebois/AppData/Roaming/Microsoft/Excel/2018/18-044.doc" TargetMode="External"/><Relationship Id="rId151" Type="http://schemas.openxmlformats.org/officeDocument/2006/relationships/hyperlink" Target="../../../ccharlebois/AppData/Roaming/Microsoft/Excel/2019/19-063" TargetMode="External"/><Relationship Id="rId389" Type="http://schemas.openxmlformats.org/officeDocument/2006/relationships/hyperlink" Target="2021\21-150" TargetMode="External"/><Relationship Id="rId596" Type="http://schemas.openxmlformats.org/officeDocument/2006/relationships/hyperlink" Target="2023\23-025" TargetMode="External"/><Relationship Id="rId817" Type="http://schemas.openxmlformats.org/officeDocument/2006/relationships/hyperlink" Target="file:///\\stratfs1.clemmertech.net\public\QCI%20Division\Quality%20Documentation-QCI\Alert%20System\Alerts\2024\24-136" TargetMode="External"/><Relationship Id="rId1002" Type="http://schemas.openxmlformats.org/officeDocument/2006/relationships/hyperlink" Target="file:///\\stratfs1.clemmertech.net\public\QCI%20Division\Quality%20Documentation-QCI\Alert%20System\Alerts\2025\25-165" TargetMode="External"/><Relationship Id="rId249" Type="http://schemas.openxmlformats.org/officeDocument/2006/relationships/hyperlink" Target="2020\20-012" TargetMode="External"/><Relationship Id="rId456" Type="http://schemas.openxmlformats.org/officeDocument/2006/relationships/hyperlink" Target="2022\22-019" TargetMode="External"/><Relationship Id="rId663" Type="http://schemas.openxmlformats.org/officeDocument/2006/relationships/hyperlink" Target="2023\23-095" TargetMode="External"/><Relationship Id="rId870" Type="http://schemas.openxmlformats.org/officeDocument/2006/relationships/hyperlink" Target="file:///\\stratfs1.clemmertech.net\public\QCI%20Division\Quality%20Documentation-QCI\Alert%20System\Alerts\2025\25-014" TargetMode="External"/><Relationship Id="rId13" Type="http://schemas.openxmlformats.org/officeDocument/2006/relationships/hyperlink" Target="../../../ccharlebois/AppData/Roaming/Microsoft/Excel/2017/17-012" TargetMode="External"/><Relationship Id="rId109" Type="http://schemas.openxmlformats.org/officeDocument/2006/relationships/hyperlink" Target="../../../ccharlebois/AppData/Roaming/Microsoft/Excel/2019/19-020" TargetMode="External"/><Relationship Id="rId316" Type="http://schemas.openxmlformats.org/officeDocument/2006/relationships/hyperlink" Target="2020\20-076" TargetMode="External"/><Relationship Id="rId523" Type="http://schemas.openxmlformats.org/officeDocument/2006/relationships/hyperlink" Target="2022\22-087" TargetMode="External"/><Relationship Id="rId968" Type="http://schemas.openxmlformats.org/officeDocument/2006/relationships/hyperlink" Target="file:///\\stratfs1\public\QCI%20Division\Quality%20Documentation-QCI\Alert%20System\Alerts\2025\25-121" TargetMode="External"/><Relationship Id="rId97" Type="http://schemas.openxmlformats.org/officeDocument/2006/relationships/hyperlink" Target="../../../ccharlebois/AppData/Roaming/Microsoft/Excel/2019/19-008" TargetMode="External"/><Relationship Id="rId730" Type="http://schemas.openxmlformats.org/officeDocument/2006/relationships/hyperlink" Target="2024/24-040" TargetMode="External"/><Relationship Id="rId828" Type="http://schemas.openxmlformats.org/officeDocument/2006/relationships/hyperlink" Target="file:///\\stratfs1.clemmertech.net\public\QCI%20Division\Quality%20Documentation-QCI\Alert%20System\Alerts\2024\24-150" TargetMode="External"/><Relationship Id="rId1013" Type="http://schemas.openxmlformats.org/officeDocument/2006/relationships/customProperty" Target="../customProperty1.bin"/><Relationship Id="rId162" Type="http://schemas.openxmlformats.org/officeDocument/2006/relationships/hyperlink" Target="../../../ccharlebois/AppData/Roaming/Microsoft/Excel/2019/19-076" TargetMode="External"/><Relationship Id="rId467" Type="http://schemas.openxmlformats.org/officeDocument/2006/relationships/hyperlink" Target="2022\22-030" TargetMode="External"/><Relationship Id="rId674" Type="http://schemas.openxmlformats.org/officeDocument/2006/relationships/hyperlink" Target="2023/23-106" TargetMode="External"/><Relationship Id="rId881" Type="http://schemas.openxmlformats.org/officeDocument/2006/relationships/hyperlink" Target="file:///\\stratfs1.clemmertech.net\public\QCI%20Division\Quality%20Documentation-QCI\Alert%20System\Alerts\2025\25-025" TargetMode="External"/><Relationship Id="rId979" Type="http://schemas.openxmlformats.org/officeDocument/2006/relationships/hyperlink" Target="file:///\\stratfs1\public\QCI%20Division\Quality%20Documentation-QCI\Alert%20System\Alerts\2025\25-136" TargetMode="External"/><Relationship Id="rId24" Type="http://schemas.openxmlformats.org/officeDocument/2006/relationships/hyperlink" Target="../../../ccharlebois/AppData/Roaming/Microsoft/Excel/2017/17-024" TargetMode="External"/><Relationship Id="rId327" Type="http://schemas.openxmlformats.org/officeDocument/2006/relationships/hyperlink" Target="2020\20-088" TargetMode="External"/><Relationship Id="rId534" Type="http://schemas.openxmlformats.org/officeDocument/2006/relationships/hyperlink" Target="2022\22-096" TargetMode="External"/><Relationship Id="rId741" Type="http://schemas.openxmlformats.org/officeDocument/2006/relationships/hyperlink" Target="2024\24-051" TargetMode="External"/><Relationship Id="rId839" Type="http://schemas.openxmlformats.org/officeDocument/2006/relationships/hyperlink" Target="file:///\\stratfs1\public\QCI%20Division\Quality%20Documentation-QCI\Alert%20System\Alerts\2024\24-164" TargetMode="External"/><Relationship Id="rId173" Type="http://schemas.openxmlformats.org/officeDocument/2006/relationships/hyperlink" Target="../../../ccharlebois/AppData/Roaming/Microsoft/Excel/2019/19-086" TargetMode="External"/><Relationship Id="rId380" Type="http://schemas.openxmlformats.org/officeDocument/2006/relationships/hyperlink" Target="2021\20-141" TargetMode="External"/><Relationship Id="rId601" Type="http://schemas.openxmlformats.org/officeDocument/2006/relationships/hyperlink" Target="2023\23-033" TargetMode="External"/><Relationship Id="rId240" Type="http://schemas.openxmlformats.org/officeDocument/2006/relationships/hyperlink" Target="2020\20-003" TargetMode="External"/><Relationship Id="rId478" Type="http://schemas.openxmlformats.org/officeDocument/2006/relationships/hyperlink" Target="2022\22-042" TargetMode="External"/><Relationship Id="rId685" Type="http://schemas.openxmlformats.org/officeDocument/2006/relationships/hyperlink" Target="2023\23-117\QA%2023-117.doc" TargetMode="External"/><Relationship Id="rId892" Type="http://schemas.openxmlformats.org/officeDocument/2006/relationships/hyperlink" Target="file:///\\stratfs1.clemmertech.net\public\QCI%20Division\Quality%20Documentation-QCI\Alert%20System\Alerts\2025\25-038" TargetMode="External"/><Relationship Id="rId906" Type="http://schemas.openxmlformats.org/officeDocument/2006/relationships/hyperlink" Target="file:///\\stratfs1.clemmertech.net\public\QCI%20Division\Quality%20Documentation-QCI\Alert%20System\Alerts\2025\25-054" TargetMode="External"/><Relationship Id="rId35" Type="http://schemas.openxmlformats.org/officeDocument/2006/relationships/hyperlink" Target="../../../ccharlebois/AppData/Roaming/Microsoft/Excel/2017/17-039" TargetMode="External"/><Relationship Id="rId100" Type="http://schemas.openxmlformats.org/officeDocument/2006/relationships/hyperlink" Target="../../../ccharlebois/AppData/Roaming/Microsoft/Excel/2019/19-011" TargetMode="External"/><Relationship Id="rId338" Type="http://schemas.openxmlformats.org/officeDocument/2006/relationships/hyperlink" Target="2020\20-099" TargetMode="External"/><Relationship Id="rId545" Type="http://schemas.openxmlformats.org/officeDocument/2006/relationships/hyperlink" Target="2022\22-108" TargetMode="External"/><Relationship Id="rId752" Type="http://schemas.openxmlformats.org/officeDocument/2006/relationships/hyperlink" Target="2024\24-062" TargetMode="External"/><Relationship Id="rId184" Type="http://schemas.openxmlformats.org/officeDocument/2006/relationships/hyperlink" Target="../../../ccharlebois/AppData/Roaming/Microsoft/Excel/2019/19-099" TargetMode="External"/><Relationship Id="rId391" Type="http://schemas.openxmlformats.org/officeDocument/2006/relationships/hyperlink" Target="2021\21-152" TargetMode="External"/><Relationship Id="rId405" Type="http://schemas.openxmlformats.org/officeDocument/2006/relationships/hyperlink" Target="2021\21-171" TargetMode="External"/><Relationship Id="rId612" Type="http://schemas.openxmlformats.org/officeDocument/2006/relationships/hyperlink" Target="2023\23-044" TargetMode="External"/><Relationship Id="rId251" Type="http://schemas.openxmlformats.org/officeDocument/2006/relationships/hyperlink" Target="2020\20-014" TargetMode="External"/><Relationship Id="rId489" Type="http://schemas.openxmlformats.org/officeDocument/2006/relationships/hyperlink" Target="2022\22-053" TargetMode="External"/><Relationship Id="rId696" Type="http://schemas.openxmlformats.org/officeDocument/2006/relationships/hyperlink" Target="2024\24-005\QA%2024-005.doc" TargetMode="External"/><Relationship Id="rId917" Type="http://schemas.openxmlformats.org/officeDocument/2006/relationships/hyperlink" Target="file:///\\stratfs1.clemmertech.net\public\QCI%20Division\Quality%20Documentation-QCI\Alert%20System\Alerts\2025\25-065" TargetMode="External"/><Relationship Id="rId46" Type="http://schemas.openxmlformats.org/officeDocument/2006/relationships/hyperlink" Target="../../../ccharlebois/AppData/Roaming/Microsoft/Excel/2018/18-004%20Stamping.doc" TargetMode="External"/><Relationship Id="rId349" Type="http://schemas.openxmlformats.org/officeDocument/2006/relationships/hyperlink" Target="2020\20-112" TargetMode="External"/><Relationship Id="rId556" Type="http://schemas.openxmlformats.org/officeDocument/2006/relationships/hyperlink" Target="2022\22-119" TargetMode="External"/><Relationship Id="rId763" Type="http://schemas.openxmlformats.org/officeDocument/2006/relationships/hyperlink" Target="2024\24-073" TargetMode="External"/><Relationship Id="rId111" Type="http://schemas.openxmlformats.org/officeDocument/2006/relationships/hyperlink" Target="../../../ccharlebois/AppData/Roaming/Microsoft/Excel/2019/19-022" TargetMode="External"/><Relationship Id="rId195" Type="http://schemas.openxmlformats.org/officeDocument/2006/relationships/hyperlink" Target="../../../ccharlebois/AppData/Roaming/Microsoft/Excel/2019/19-096" TargetMode="External"/><Relationship Id="rId209" Type="http://schemas.openxmlformats.org/officeDocument/2006/relationships/hyperlink" Target="../../../ccharlebois/AppData/Roaming/Microsoft/Excel/2019/19-123" TargetMode="External"/><Relationship Id="rId416" Type="http://schemas.openxmlformats.org/officeDocument/2006/relationships/hyperlink" Target="2021\21-186" TargetMode="External"/><Relationship Id="rId970" Type="http://schemas.openxmlformats.org/officeDocument/2006/relationships/hyperlink" Target="file:///\\stratfs1\public\QCI%20Division\Quality%20Documentation-QCI\Alert%20System\Alerts\2025\25-124" TargetMode="External"/><Relationship Id="rId623" Type="http://schemas.openxmlformats.org/officeDocument/2006/relationships/hyperlink" Target="2023\23-056" TargetMode="External"/><Relationship Id="rId830" Type="http://schemas.openxmlformats.org/officeDocument/2006/relationships/hyperlink" Target="file:///\\stratfs1.clemmertech.net\public\QCI%20Division\Quality%20Documentation-QCI\Alert%20System\Alerts\2024\24-152" TargetMode="External"/><Relationship Id="rId928" Type="http://schemas.openxmlformats.org/officeDocument/2006/relationships/hyperlink" Target="file:///\\stratfs1.clemmertech.net\public\QCI%20Division\Quality%20Documentation-QCI\Alert%20System\Alerts\2025\25-076" TargetMode="External"/><Relationship Id="rId57" Type="http://schemas.openxmlformats.org/officeDocument/2006/relationships/hyperlink" Target="../../../ccharlebois/AppData/Roaming/Microsoft/Excel/2018/18-015.doc" TargetMode="External"/><Relationship Id="rId262" Type="http://schemas.openxmlformats.org/officeDocument/2006/relationships/hyperlink" Target="2020\20-033" TargetMode="External"/><Relationship Id="rId567" Type="http://schemas.openxmlformats.org/officeDocument/2006/relationships/hyperlink" Target="2022\22-130" TargetMode="External"/><Relationship Id="rId122" Type="http://schemas.openxmlformats.org/officeDocument/2006/relationships/hyperlink" Target="../../../ccharlebois/AppData/Roaming/Microsoft/Excel/2019/19-033" TargetMode="External"/><Relationship Id="rId774" Type="http://schemas.openxmlformats.org/officeDocument/2006/relationships/hyperlink" Target="2024/24-084" TargetMode="External"/><Relationship Id="rId981" Type="http://schemas.openxmlformats.org/officeDocument/2006/relationships/hyperlink" Target="file:///\\stratfs1\public\QCI%20Division\Quality%20Documentation-QCI\Alert%20System\Alerts\2025\25-138" TargetMode="External"/><Relationship Id="rId427" Type="http://schemas.openxmlformats.org/officeDocument/2006/relationships/hyperlink" Target="2021\21-200" TargetMode="External"/><Relationship Id="rId634" Type="http://schemas.openxmlformats.org/officeDocument/2006/relationships/hyperlink" Target="2023\23-068" TargetMode="External"/><Relationship Id="rId841" Type="http://schemas.openxmlformats.org/officeDocument/2006/relationships/hyperlink" Target="file:///\\stratfs1.clemmertech.net\public\QCI%20Division\Quality%20Documentation-QCI\Alert%20System\Alerts\2024\24-166" TargetMode="External"/><Relationship Id="rId273" Type="http://schemas.openxmlformats.org/officeDocument/2006/relationships/hyperlink" Target="2020\20-035" TargetMode="External"/><Relationship Id="rId480" Type="http://schemas.openxmlformats.org/officeDocument/2006/relationships/hyperlink" Target="2022\22-043" TargetMode="External"/><Relationship Id="rId701" Type="http://schemas.openxmlformats.org/officeDocument/2006/relationships/hyperlink" Target="2024\24-010" TargetMode="External"/><Relationship Id="rId939" Type="http://schemas.openxmlformats.org/officeDocument/2006/relationships/hyperlink" Target="file:///\\stratfs1.clemmertech.net\public\QCI%20Division\Quality%20Documentation-QCI\Alert%20System\Alerts\2025\25-087" TargetMode="External"/><Relationship Id="rId68" Type="http://schemas.openxmlformats.org/officeDocument/2006/relationships/hyperlink" Target="../../../ccharlebois/AppData/Roaming/Microsoft/Excel/2018/18-026.doc" TargetMode="External"/><Relationship Id="rId133" Type="http://schemas.openxmlformats.org/officeDocument/2006/relationships/hyperlink" Target="../../../ccharlebois/AppData/Roaming/Microsoft/Excel/2019/19-046" TargetMode="External"/><Relationship Id="rId340" Type="http://schemas.openxmlformats.org/officeDocument/2006/relationships/hyperlink" Target="2020\20-101" TargetMode="External"/><Relationship Id="rId578" Type="http://schemas.openxmlformats.org/officeDocument/2006/relationships/hyperlink" Target="2023\23-008" TargetMode="External"/><Relationship Id="rId785" Type="http://schemas.openxmlformats.org/officeDocument/2006/relationships/hyperlink" Target="2024\24-096\24-096.doc" TargetMode="External"/><Relationship Id="rId992" Type="http://schemas.openxmlformats.org/officeDocument/2006/relationships/hyperlink" Target="file:///\\stratfs1\public\QCI%20Division\Quality%20Documentation-QCI\Alert%20System\Alerts\2025\25-149" TargetMode="External"/><Relationship Id="rId200" Type="http://schemas.openxmlformats.org/officeDocument/2006/relationships/hyperlink" Target="../../../ccharlebois/AppData/Roaming/Microsoft/Excel/2019/19-113" TargetMode="External"/><Relationship Id="rId438" Type="http://schemas.openxmlformats.org/officeDocument/2006/relationships/hyperlink" Target="2021\21-177" TargetMode="External"/><Relationship Id="rId645" Type="http://schemas.openxmlformats.org/officeDocument/2006/relationships/hyperlink" Target="2023\23-077" TargetMode="External"/><Relationship Id="rId852" Type="http://schemas.openxmlformats.org/officeDocument/2006/relationships/hyperlink" Target="file:///\\stratfs1.clemmertech.net\public\QCI%20Division\Quality%20Documentation-QCI\Alert%20System\Alerts\2024\24-176" TargetMode="External"/><Relationship Id="rId284" Type="http://schemas.openxmlformats.org/officeDocument/2006/relationships/hyperlink" Target="2020\20-046" TargetMode="External"/><Relationship Id="rId491" Type="http://schemas.openxmlformats.org/officeDocument/2006/relationships/hyperlink" Target="2022\22-055" TargetMode="External"/><Relationship Id="rId505" Type="http://schemas.openxmlformats.org/officeDocument/2006/relationships/hyperlink" Target="2022\22-068" TargetMode="External"/><Relationship Id="rId712" Type="http://schemas.openxmlformats.org/officeDocument/2006/relationships/hyperlink" Target="2024\24-022" TargetMode="External"/><Relationship Id="rId79" Type="http://schemas.openxmlformats.org/officeDocument/2006/relationships/hyperlink" Target="../../../ccharlebois/AppData/Roaming/Microsoft/Excel/2018/18-037" TargetMode="External"/><Relationship Id="rId144" Type="http://schemas.openxmlformats.org/officeDocument/2006/relationships/hyperlink" Target="../../../ccharlebois/AppData/Roaming/Microsoft/Excel/2019/19-055" TargetMode="External"/><Relationship Id="rId589" Type="http://schemas.openxmlformats.org/officeDocument/2006/relationships/hyperlink" Target="2023\23-019" TargetMode="External"/><Relationship Id="rId796" Type="http://schemas.openxmlformats.org/officeDocument/2006/relationships/hyperlink" Target="file:///\\stratfs1.clemmertech.net\public\QCI%20Division\Quality%20Documentation-QCI\Alert%20System\Alerts\2024\24-113" TargetMode="External"/><Relationship Id="rId351" Type="http://schemas.openxmlformats.org/officeDocument/2006/relationships/hyperlink" Target="2020\20-115" TargetMode="External"/><Relationship Id="rId449" Type="http://schemas.openxmlformats.org/officeDocument/2006/relationships/hyperlink" Target="2022\22-015" TargetMode="External"/><Relationship Id="rId656" Type="http://schemas.openxmlformats.org/officeDocument/2006/relationships/hyperlink" Target="2023\23-089" TargetMode="External"/><Relationship Id="rId863" Type="http://schemas.openxmlformats.org/officeDocument/2006/relationships/hyperlink" Target="file:///\\stratfs1.clemmertech.net\public\QCI%20Division\Quality%20Documentation-QCI\Alert%20System\Alerts\2025\25-007" TargetMode="External"/><Relationship Id="rId211" Type="http://schemas.openxmlformats.org/officeDocument/2006/relationships/hyperlink" Target="../../../ccharlebois/AppData/Roaming/Microsoft/Excel/2019/19-125" TargetMode="External"/><Relationship Id="rId295" Type="http://schemas.openxmlformats.org/officeDocument/2006/relationships/hyperlink" Target="2020\20-052" TargetMode="External"/><Relationship Id="rId309" Type="http://schemas.openxmlformats.org/officeDocument/2006/relationships/hyperlink" Target="2020\20-069" TargetMode="External"/><Relationship Id="rId516" Type="http://schemas.openxmlformats.org/officeDocument/2006/relationships/hyperlink" Target="2022\22-079" TargetMode="External"/><Relationship Id="rId723" Type="http://schemas.openxmlformats.org/officeDocument/2006/relationships/hyperlink" Target="2024\24-034" TargetMode="External"/><Relationship Id="rId930" Type="http://schemas.openxmlformats.org/officeDocument/2006/relationships/hyperlink" Target="file:///\\stratfs1.clemmertech.net\public\QCI%20Division\Quality%20Documentation-QCI\Alert%20System\Alerts\2025\25-078" TargetMode="External"/><Relationship Id="rId1006" Type="http://schemas.openxmlformats.org/officeDocument/2006/relationships/hyperlink" Target="file:///\\stratfs1.clemmertech.net\public\QCI%20Division\Quality%20Documentation-QCI\Alert%20System\Alerts\2025\25-173" TargetMode="External"/><Relationship Id="rId155" Type="http://schemas.openxmlformats.org/officeDocument/2006/relationships/hyperlink" Target="../../../ccharlebois/AppData/Roaming/Microsoft/Excel/2019/19-068" TargetMode="External"/><Relationship Id="rId362" Type="http://schemas.openxmlformats.org/officeDocument/2006/relationships/hyperlink" Target="2020\20-123" TargetMode="External"/><Relationship Id="rId222" Type="http://schemas.openxmlformats.org/officeDocument/2006/relationships/hyperlink" Target="../../../ccharlebois/AppData/Roaming/Microsoft/Excel/2019/19-136" TargetMode="External"/><Relationship Id="rId667" Type="http://schemas.openxmlformats.org/officeDocument/2006/relationships/hyperlink" Target="2023\23-099" TargetMode="External"/><Relationship Id="rId874" Type="http://schemas.openxmlformats.org/officeDocument/2006/relationships/hyperlink" Target="file:///\\stratfs1.clemmertech.net\public\QCI%20Division\Quality%20Documentation-QCI\Alert%20System\Alerts\2025\25-018" TargetMode="External"/><Relationship Id="rId17" Type="http://schemas.openxmlformats.org/officeDocument/2006/relationships/hyperlink" Target="../../../ccharlebois/AppData/Roaming/Microsoft/Excel/2017/17-015" TargetMode="External"/><Relationship Id="rId527" Type="http://schemas.openxmlformats.org/officeDocument/2006/relationships/hyperlink" Target="2022\22-089" TargetMode="External"/><Relationship Id="rId734" Type="http://schemas.openxmlformats.org/officeDocument/2006/relationships/hyperlink" Target="2024\24-044" TargetMode="External"/><Relationship Id="rId941" Type="http://schemas.openxmlformats.org/officeDocument/2006/relationships/hyperlink" Target="file:///\\stratfs1.clemmertech.net\public\QCI%20Division\Quality%20Documentation-QCI\Alert%20System\Alerts\2025\25-090" TargetMode="External"/><Relationship Id="rId70" Type="http://schemas.openxmlformats.org/officeDocument/2006/relationships/hyperlink" Target="../../../ccharlebois/AppData/Roaming/Microsoft/Excel/2018/18-028.doc" TargetMode="External"/><Relationship Id="rId166" Type="http://schemas.openxmlformats.org/officeDocument/2006/relationships/hyperlink" Target="../../../ccharlebois/AppData/Roaming/Microsoft/Excel/2019/19-080" TargetMode="External"/><Relationship Id="rId373" Type="http://schemas.openxmlformats.org/officeDocument/2006/relationships/hyperlink" Target="2020\20-134\20-134%20Quality%20Alert.docx" TargetMode="External"/><Relationship Id="rId580" Type="http://schemas.openxmlformats.org/officeDocument/2006/relationships/hyperlink" Target="2023\23-010" TargetMode="External"/><Relationship Id="rId801" Type="http://schemas.openxmlformats.org/officeDocument/2006/relationships/hyperlink" Target="file:///\\stratfs1.clemmertech.net\public\QCI%20Division\Quality%20Documentation-QCI\Alert%20System\Alerts\2024\24-118" TargetMode="External"/><Relationship Id="rId1017" Type="http://schemas.openxmlformats.org/officeDocument/2006/relationships/comments" Target="../comments1.xml"/><Relationship Id="rId1" Type="http://schemas.openxmlformats.org/officeDocument/2006/relationships/hyperlink" Target="../../../ccharlebois/AppData/Roaming/Microsoft/Excel/2016/QA16-001.doc" TargetMode="External"/><Relationship Id="rId233" Type="http://schemas.openxmlformats.org/officeDocument/2006/relationships/hyperlink" Target="../../../ccharlebois/AppData/Roaming/Microsoft/Excel/2019/19-147" TargetMode="External"/><Relationship Id="rId440" Type="http://schemas.openxmlformats.org/officeDocument/2006/relationships/hyperlink" Target="2022\22-006" TargetMode="External"/><Relationship Id="rId678" Type="http://schemas.openxmlformats.org/officeDocument/2006/relationships/hyperlink" Target="2023\23-110" TargetMode="External"/><Relationship Id="rId885" Type="http://schemas.openxmlformats.org/officeDocument/2006/relationships/hyperlink" Target="file:///\\stratfs1.clemmertech.net\public\QCI%20Division\Quality%20Documentation-QCI\Alert%20System\Alerts\2025\25-030" TargetMode="External"/><Relationship Id="rId28" Type="http://schemas.openxmlformats.org/officeDocument/2006/relationships/hyperlink" Target="../../../ccharlebois/AppData/Roaming/Microsoft/Excel/2017/17-030.doc" TargetMode="External"/><Relationship Id="rId300" Type="http://schemas.openxmlformats.org/officeDocument/2006/relationships/hyperlink" Target="2020\20-060" TargetMode="External"/><Relationship Id="rId538" Type="http://schemas.openxmlformats.org/officeDocument/2006/relationships/hyperlink" Target="2022\22-101" TargetMode="External"/><Relationship Id="rId745" Type="http://schemas.openxmlformats.org/officeDocument/2006/relationships/hyperlink" Target="2024\24-056" TargetMode="External"/><Relationship Id="rId952" Type="http://schemas.openxmlformats.org/officeDocument/2006/relationships/hyperlink" Target="file:///\\stratfs1.clemmertech.net\public\QCI%20Division\Quality%20Documentation-QCI\Alert%20System\Alerts\2025\25-103" TargetMode="External"/><Relationship Id="rId81" Type="http://schemas.openxmlformats.org/officeDocument/2006/relationships/hyperlink" Target="../../../ccharlebois/AppData/Roaming/Microsoft/Excel/2018/18-039" TargetMode="External"/><Relationship Id="rId177" Type="http://schemas.openxmlformats.org/officeDocument/2006/relationships/hyperlink" Target="../../../ccharlebois/AppData/Roaming/Microsoft/Excel/2019/19-090" TargetMode="External"/><Relationship Id="rId384" Type="http://schemas.openxmlformats.org/officeDocument/2006/relationships/hyperlink" Target="2021\21-145" TargetMode="External"/><Relationship Id="rId591" Type="http://schemas.openxmlformats.org/officeDocument/2006/relationships/hyperlink" Target="2023\23-021" TargetMode="External"/><Relationship Id="rId605" Type="http://schemas.openxmlformats.org/officeDocument/2006/relationships/hyperlink" Target="2023\23-037" TargetMode="External"/><Relationship Id="rId812" Type="http://schemas.openxmlformats.org/officeDocument/2006/relationships/hyperlink" Target="file:///\\stratfs1.clemmertech.net\public\QCI%20Division\Quality%20Documentation-QCI\Alert%20System\Alerts\2024\24-130" TargetMode="External"/><Relationship Id="rId244" Type="http://schemas.openxmlformats.org/officeDocument/2006/relationships/hyperlink" Target="2020\20-007" TargetMode="External"/><Relationship Id="rId689" Type="http://schemas.openxmlformats.org/officeDocument/2006/relationships/hyperlink" Target="2023\23-122\QA%2023-122.doc" TargetMode="External"/><Relationship Id="rId896" Type="http://schemas.openxmlformats.org/officeDocument/2006/relationships/hyperlink" Target="file:///\\stratfs1.clemmertech.net\public\QCI%20Division\Quality%20Documentation-QCI\Alert%20System\Alerts\2025\25-043" TargetMode="External"/><Relationship Id="rId39" Type="http://schemas.openxmlformats.org/officeDocument/2006/relationships/hyperlink" Target="../../../ccharlebois/AppData/Roaming/Microsoft/Excel/2017/17-043" TargetMode="External"/><Relationship Id="rId451" Type="http://schemas.openxmlformats.org/officeDocument/2006/relationships/hyperlink" Target="2021\21-176" TargetMode="External"/><Relationship Id="rId549" Type="http://schemas.openxmlformats.org/officeDocument/2006/relationships/hyperlink" Target="2022\22-115" TargetMode="External"/><Relationship Id="rId756" Type="http://schemas.openxmlformats.org/officeDocument/2006/relationships/hyperlink" Target="2024\24-066" TargetMode="External"/><Relationship Id="rId104" Type="http://schemas.openxmlformats.org/officeDocument/2006/relationships/hyperlink" Target="../../../ccharlebois/AppData/Roaming/Microsoft/Excel/2019/19-015/19-015.doc" TargetMode="External"/><Relationship Id="rId188" Type="http://schemas.openxmlformats.org/officeDocument/2006/relationships/hyperlink" Target="../../../ccharlebois/AppData/Roaming/Microsoft/Excel/2019/19-104" TargetMode="External"/><Relationship Id="rId311" Type="http://schemas.openxmlformats.org/officeDocument/2006/relationships/hyperlink" Target="2020\20-071" TargetMode="External"/><Relationship Id="rId395" Type="http://schemas.openxmlformats.org/officeDocument/2006/relationships/hyperlink" Target="2021\21-156" TargetMode="External"/><Relationship Id="rId409" Type="http://schemas.openxmlformats.org/officeDocument/2006/relationships/hyperlink" Target="2021\21-179" TargetMode="External"/><Relationship Id="rId963" Type="http://schemas.openxmlformats.org/officeDocument/2006/relationships/hyperlink" Target="file:///\\stratfs1.clemmertech.net\public\QCI%20Division\Quality%20Documentation-QCI\Alert%20System\Alerts\2025\25-114" TargetMode="External"/><Relationship Id="rId92" Type="http://schemas.openxmlformats.org/officeDocument/2006/relationships/hyperlink" Target="../../../ccharlebois/AppData/Roaming/Microsoft/Excel/2019/19-002" TargetMode="External"/><Relationship Id="rId616" Type="http://schemas.openxmlformats.org/officeDocument/2006/relationships/hyperlink" Target="2023\23-048" TargetMode="External"/><Relationship Id="rId823" Type="http://schemas.openxmlformats.org/officeDocument/2006/relationships/hyperlink" Target="file:///\\stratfs1.clemmertech.net\public\QCI%20Division\Quality%20Documentation-QCI\Alert%20System\Alerts\2024\24-145" TargetMode="External"/><Relationship Id="rId255" Type="http://schemas.openxmlformats.org/officeDocument/2006/relationships/hyperlink" Target="2020\20-018" TargetMode="External"/><Relationship Id="rId462" Type="http://schemas.openxmlformats.org/officeDocument/2006/relationships/hyperlink" Target="2022\22-025" TargetMode="External"/><Relationship Id="rId115" Type="http://schemas.openxmlformats.org/officeDocument/2006/relationships/hyperlink" Target="../../../ccharlebois/AppData/Roaming/Microsoft/Excel/2019/19-025" TargetMode="External"/><Relationship Id="rId322" Type="http://schemas.openxmlformats.org/officeDocument/2006/relationships/hyperlink" Target="2020\20-083" TargetMode="External"/><Relationship Id="rId767" Type="http://schemas.openxmlformats.org/officeDocument/2006/relationships/hyperlink" Target="2024\24-077" TargetMode="External"/><Relationship Id="rId974" Type="http://schemas.openxmlformats.org/officeDocument/2006/relationships/hyperlink" Target="file:///\\stratfs1\public\QCI%20Division\Quality%20Documentation-QCI\Alert%20System\Alerts\2025\25-128" TargetMode="External"/><Relationship Id="rId199" Type="http://schemas.openxmlformats.org/officeDocument/2006/relationships/hyperlink" Target="../../../ccharlebois/AppData/Roaming/Microsoft/Excel/2019/19-112" TargetMode="External"/><Relationship Id="rId627" Type="http://schemas.openxmlformats.org/officeDocument/2006/relationships/hyperlink" Target="2023\23-059\23-059.doc" TargetMode="External"/><Relationship Id="rId834" Type="http://schemas.openxmlformats.org/officeDocument/2006/relationships/hyperlink" Target="file:///\\stratfs1\public\QCI%20Division\Quality%20Documentation-QCI\Alert%20System\Alerts\2024\24-155" TargetMode="External"/><Relationship Id="rId266" Type="http://schemas.openxmlformats.org/officeDocument/2006/relationships/hyperlink" Target="2020\20-019" TargetMode="External"/><Relationship Id="rId473" Type="http://schemas.openxmlformats.org/officeDocument/2006/relationships/hyperlink" Target="2022\22-036" TargetMode="External"/><Relationship Id="rId680" Type="http://schemas.openxmlformats.org/officeDocument/2006/relationships/hyperlink" Target="2023\23-112\QA-112.doc" TargetMode="External"/><Relationship Id="rId901" Type="http://schemas.openxmlformats.org/officeDocument/2006/relationships/hyperlink" Target="file:///\\stratfs1.clemmertech.net\public\QCI%20Division\Quality%20Documentation-QCI\Alert%20System\Alerts\2025\25-049" TargetMode="External"/><Relationship Id="rId30" Type="http://schemas.openxmlformats.org/officeDocument/2006/relationships/hyperlink" Target="../../../ccharlebois/AppData/Roaming/Microsoft/Excel/2017/17-032.doc" TargetMode="External"/><Relationship Id="rId126" Type="http://schemas.openxmlformats.org/officeDocument/2006/relationships/hyperlink" Target="../../../ccharlebois/AppData/Roaming/Microsoft/Excel/2019/19-037" TargetMode="External"/><Relationship Id="rId333" Type="http://schemas.openxmlformats.org/officeDocument/2006/relationships/hyperlink" Target="2020\20-093" TargetMode="External"/><Relationship Id="rId540" Type="http://schemas.openxmlformats.org/officeDocument/2006/relationships/hyperlink" Target="2022\22-103" TargetMode="External"/><Relationship Id="rId778" Type="http://schemas.openxmlformats.org/officeDocument/2006/relationships/hyperlink" Target="2024/24-089" TargetMode="External"/><Relationship Id="rId985" Type="http://schemas.openxmlformats.org/officeDocument/2006/relationships/hyperlink" Target="file:///\\stratfs1\public\QCI%20Division\Quality%20Documentation-QCI\Alert%20System\Alerts\2025\25-141" TargetMode="External"/><Relationship Id="rId638" Type="http://schemas.openxmlformats.org/officeDocument/2006/relationships/hyperlink" Target="2023\23-070" TargetMode="External"/><Relationship Id="rId845" Type="http://schemas.openxmlformats.org/officeDocument/2006/relationships/hyperlink" Target="file:///\\stratfs1.clemmertech.net\public\QCI%20Division\Quality%20Documentation-QCI\Alert%20System\Alerts\2024\24-171" TargetMode="External"/><Relationship Id="rId277" Type="http://schemas.openxmlformats.org/officeDocument/2006/relationships/hyperlink" Target="2020\20-039" TargetMode="External"/><Relationship Id="rId400" Type="http://schemas.openxmlformats.org/officeDocument/2006/relationships/hyperlink" Target="2021\21-161" TargetMode="External"/><Relationship Id="rId484" Type="http://schemas.openxmlformats.org/officeDocument/2006/relationships/hyperlink" Target="2022\22-047" TargetMode="External"/><Relationship Id="rId705" Type="http://schemas.openxmlformats.org/officeDocument/2006/relationships/hyperlink" Target="2024\24-014" TargetMode="External"/><Relationship Id="rId137" Type="http://schemas.openxmlformats.org/officeDocument/2006/relationships/hyperlink" Target="../../../ccharlebois/AppData/Roaming/Microsoft/Excel/2019/19-048" TargetMode="External"/><Relationship Id="rId344" Type="http://schemas.openxmlformats.org/officeDocument/2006/relationships/hyperlink" Target="2020\20-107" TargetMode="External"/><Relationship Id="rId691" Type="http://schemas.openxmlformats.org/officeDocument/2006/relationships/hyperlink" Target="2023\23-124\QA%2023-124.doc" TargetMode="External"/><Relationship Id="rId789" Type="http://schemas.openxmlformats.org/officeDocument/2006/relationships/hyperlink" Target="2024\24-100" TargetMode="External"/><Relationship Id="rId912" Type="http://schemas.openxmlformats.org/officeDocument/2006/relationships/hyperlink" Target="file:///\\stratfs1.clemmertech.net\public\QCI%20Division\Quality%20Documentation-QCI\Alert%20System\Alerts\2025\25-060" TargetMode="External"/><Relationship Id="rId996" Type="http://schemas.openxmlformats.org/officeDocument/2006/relationships/hyperlink" Target="file:///\\stratfs1.clemmertech.net\public\QCI%20Division\Quality%20Documentation-QCI\Alert%20System\Alerts\2025\25-159" TargetMode="External"/><Relationship Id="rId41" Type="http://schemas.openxmlformats.org/officeDocument/2006/relationships/hyperlink" Target="../../../ccharlebois/AppData/Roaming/Microsoft/Excel/2017/17-045" TargetMode="External"/><Relationship Id="rId551" Type="http://schemas.openxmlformats.org/officeDocument/2006/relationships/hyperlink" Target="2022\22-113" TargetMode="External"/><Relationship Id="rId649" Type="http://schemas.openxmlformats.org/officeDocument/2006/relationships/hyperlink" Target="2023\23-081" TargetMode="External"/><Relationship Id="rId856" Type="http://schemas.openxmlformats.org/officeDocument/2006/relationships/hyperlink" Target="file:///\\stratfs1.clemmertech.net\public\QCI%20Division\Quality%20Documentation-QCI\Alert%20System\Alerts\2024\24-180" TargetMode="External"/><Relationship Id="rId190" Type="http://schemas.openxmlformats.org/officeDocument/2006/relationships/hyperlink" Target="../../../ccharlebois/AppData/Roaming/Microsoft/Excel/2019/19-102" TargetMode="External"/><Relationship Id="rId204" Type="http://schemas.openxmlformats.org/officeDocument/2006/relationships/hyperlink" Target="../../../ccharlebois/AppData/Roaming/Microsoft/Excel/2019/19-117" TargetMode="External"/><Relationship Id="rId288" Type="http://schemas.openxmlformats.org/officeDocument/2006/relationships/hyperlink" Target="QA%20template.doc" TargetMode="External"/><Relationship Id="rId411" Type="http://schemas.openxmlformats.org/officeDocument/2006/relationships/hyperlink" Target="2021\21-181" TargetMode="External"/><Relationship Id="rId509" Type="http://schemas.openxmlformats.org/officeDocument/2006/relationships/hyperlink" Target="2022\22-072" TargetMode="External"/><Relationship Id="rId495" Type="http://schemas.openxmlformats.org/officeDocument/2006/relationships/hyperlink" Target="2022\22-058" TargetMode="External"/><Relationship Id="rId716" Type="http://schemas.openxmlformats.org/officeDocument/2006/relationships/hyperlink" Target="2024\24-026" TargetMode="External"/><Relationship Id="rId923" Type="http://schemas.openxmlformats.org/officeDocument/2006/relationships/hyperlink" Target="file:///\\stratfs1.clemmertech.net\public\QCI%20Division\Quality%20Documentation-QCI\Alert%20System\Alerts\2025\25-071" TargetMode="External"/><Relationship Id="rId52" Type="http://schemas.openxmlformats.org/officeDocument/2006/relationships/hyperlink" Target="../../../ccharlebois/AppData/Roaming/Microsoft/Excel/2018/18-010.doc" TargetMode="External"/><Relationship Id="rId148" Type="http://schemas.openxmlformats.org/officeDocument/2006/relationships/hyperlink" Target="../../../ccharlebois/AppData/Roaming/Microsoft/Excel/2019/19-060" TargetMode="External"/><Relationship Id="rId355" Type="http://schemas.openxmlformats.org/officeDocument/2006/relationships/hyperlink" Target="2020/20-121" TargetMode="External"/><Relationship Id="rId562" Type="http://schemas.openxmlformats.org/officeDocument/2006/relationships/hyperlink" Target="2022\22-125" TargetMode="External"/><Relationship Id="rId215" Type="http://schemas.openxmlformats.org/officeDocument/2006/relationships/hyperlink" Target="../../../ccharlebois/AppData/Roaming/Microsoft/Excel/2019/19-129" TargetMode="External"/><Relationship Id="rId257" Type="http://schemas.openxmlformats.org/officeDocument/2006/relationships/hyperlink" Target="2020\20-026" TargetMode="External"/><Relationship Id="rId422" Type="http://schemas.openxmlformats.org/officeDocument/2006/relationships/hyperlink" Target="2021\21-193" TargetMode="External"/><Relationship Id="rId464" Type="http://schemas.openxmlformats.org/officeDocument/2006/relationships/hyperlink" Target="2022\22-027" TargetMode="External"/><Relationship Id="rId867" Type="http://schemas.openxmlformats.org/officeDocument/2006/relationships/hyperlink" Target="file:///\\stratfs1.clemmertech.net\public\QCI%20Division\Quality%20Documentation-QCI\Alert%20System\Alerts\2025\25-011" TargetMode="External"/><Relationship Id="rId1010" Type="http://schemas.openxmlformats.org/officeDocument/2006/relationships/hyperlink" Target="file:///\\stratfs1.clemmertech.net\public\QCI%20Division\Quality%20Documentation-QCI\Alert%20System\Alerts\2025\25-176" TargetMode="External"/><Relationship Id="rId299" Type="http://schemas.openxmlformats.org/officeDocument/2006/relationships/hyperlink" Target="2020\20-058" TargetMode="External"/><Relationship Id="rId727" Type="http://schemas.openxmlformats.org/officeDocument/2006/relationships/hyperlink" Target="2024\24-037" TargetMode="External"/><Relationship Id="rId934" Type="http://schemas.openxmlformats.org/officeDocument/2006/relationships/hyperlink" Target="file:///\\stratfs1.clemmertech.net\public\QCI%20Division\Quality%20Documentation-QCI\Alert%20System\Alerts\2025\25-082" TargetMode="External"/><Relationship Id="rId63" Type="http://schemas.openxmlformats.org/officeDocument/2006/relationships/hyperlink" Target="../../../ccharlebois/AppData/Roaming/Microsoft/Excel/2018/18-021.doc" TargetMode="External"/><Relationship Id="rId159" Type="http://schemas.openxmlformats.org/officeDocument/2006/relationships/hyperlink" Target="../../../ccharlebois/AppData/Roaming/Microsoft/Excel/2019/19-072" TargetMode="External"/><Relationship Id="rId366" Type="http://schemas.openxmlformats.org/officeDocument/2006/relationships/hyperlink" Target="2020\20-127" TargetMode="External"/><Relationship Id="rId573" Type="http://schemas.openxmlformats.org/officeDocument/2006/relationships/hyperlink" Target="2023\23-003" TargetMode="External"/><Relationship Id="rId780" Type="http://schemas.openxmlformats.org/officeDocument/2006/relationships/hyperlink" Target="2024\24-091" TargetMode="External"/><Relationship Id="rId226" Type="http://schemas.openxmlformats.org/officeDocument/2006/relationships/hyperlink" Target="../../../ccharlebois/AppData/Roaming/Microsoft/Excel/2019/19-141" TargetMode="External"/><Relationship Id="rId433" Type="http://schemas.openxmlformats.org/officeDocument/2006/relationships/hyperlink" Target="2022\22-001" TargetMode="External"/><Relationship Id="rId878" Type="http://schemas.openxmlformats.org/officeDocument/2006/relationships/hyperlink" Target="file:///\\stratfs1.clemmertech.net\public\QCI%20Division\Quality%20Documentation-QCI\Alert%20System\Alerts\2025\25-022" TargetMode="External"/><Relationship Id="rId640" Type="http://schemas.openxmlformats.org/officeDocument/2006/relationships/hyperlink" Target="2023\23-072" TargetMode="External"/><Relationship Id="rId738" Type="http://schemas.openxmlformats.org/officeDocument/2006/relationships/hyperlink" Target="2024\24-048" TargetMode="External"/><Relationship Id="rId945" Type="http://schemas.openxmlformats.org/officeDocument/2006/relationships/hyperlink" Target="file:///\\stratfs1.clemmertech.net\public\QCI%20Division\Quality%20Documentation-QCI\Alert%20System\Alerts\2025\25-095" TargetMode="External"/><Relationship Id="rId74" Type="http://schemas.openxmlformats.org/officeDocument/2006/relationships/hyperlink" Target="../../../ccharlebois/AppData/Roaming/Microsoft/Excel/2018/18-033" TargetMode="External"/><Relationship Id="rId377" Type="http://schemas.openxmlformats.org/officeDocument/2006/relationships/hyperlink" Target="2020\20-138" TargetMode="External"/><Relationship Id="rId500" Type="http://schemas.openxmlformats.org/officeDocument/2006/relationships/hyperlink" Target="2022\22-063" TargetMode="External"/><Relationship Id="rId584" Type="http://schemas.openxmlformats.org/officeDocument/2006/relationships/hyperlink" Target="2023\23-014" TargetMode="External"/><Relationship Id="rId805" Type="http://schemas.openxmlformats.org/officeDocument/2006/relationships/hyperlink" Target="file:///\\stratfs1.clemmertech.net\public\QCI%20Division\Quality%20Documentation-QCI\Alert%20System\Alerts\2024\24-124" TargetMode="External"/><Relationship Id="rId5" Type="http://schemas.openxmlformats.org/officeDocument/2006/relationships/hyperlink" Target="../../../ccharlebois/AppData/Roaming/Microsoft/Excel/2017/17-004" TargetMode="External"/><Relationship Id="rId237" Type="http://schemas.openxmlformats.org/officeDocument/2006/relationships/hyperlink" Target="../../../ccharlebois/AppData/Roaming/Microsoft/Excel/2019/19-151" TargetMode="External"/><Relationship Id="rId791" Type="http://schemas.openxmlformats.org/officeDocument/2006/relationships/hyperlink" Target="2024/24-102" TargetMode="External"/><Relationship Id="rId889" Type="http://schemas.openxmlformats.org/officeDocument/2006/relationships/hyperlink" Target="file:///\\stratfs1.clemmertech.net\public\QCI%20Division\Quality%20Documentation-QCI\Alert%20System\Alerts\2025\25-035" TargetMode="External"/><Relationship Id="rId444" Type="http://schemas.openxmlformats.org/officeDocument/2006/relationships/hyperlink" Target="2022\22-010" TargetMode="External"/><Relationship Id="rId651" Type="http://schemas.openxmlformats.org/officeDocument/2006/relationships/hyperlink" Target="2023\23-083" TargetMode="External"/><Relationship Id="rId749" Type="http://schemas.openxmlformats.org/officeDocument/2006/relationships/hyperlink" Target="2024\24-060" TargetMode="External"/><Relationship Id="rId290" Type="http://schemas.openxmlformats.org/officeDocument/2006/relationships/hyperlink" Target="2020\20-053" TargetMode="External"/><Relationship Id="rId304" Type="http://schemas.openxmlformats.org/officeDocument/2006/relationships/hyperlink" Target="2020\20-064" TargetMode="External"/><Relationship Id="rId388" Type="http://schemas.openxmlformats.org/officeDocument/2006/relationships/hyperlink" Target="2021\21-149" TargetMode="External"/><Relationship Id="rId511" Type="http://schemas.openxmlformats.org/officeDocument/2006/relationships/hyperlink" Target="2022\22-074" TargetMode="External"/><Relationship Id="rId609" Type="http://schemas.openxmlformats.org/officeDocument/2006/relationships/hyperlink" Target="2023\23-040" TargetMode="External"/><Relationship Id="rId956" Type="http://schemas.openxmlformats.org/officeDocument/2006/relationships/hyperlink" Target="file:///\\stratfs1.clemmertech.net\public\QCI%20Division\Quality%20Documentation-QCI\Alert%20System\Alerts\2025\25-108" TargetMode="External"/><Relationship Id="rId85" Type="http://schemas.openxmlformats.org/officeDocument/2006/relationships/hyperlink" Target="../../../ccharlebois/AppData/Roaming/Microsoft/Excel/2018/18-043.doc" TargetMode="External"/><Relationship Id="rId150" Type="http://schemas.openxmlformats.org/officeDocument/2006/relationships/hyperlink" Target="../../../ccharlebois/AppData/Roaming/Microsoft/Excel/2019/19-062" TargetMode="External"/><Relationship Id="rId595" Type="http://schemas.openxmlformats.org/officeDocument/2006/relationships/hyperlink" Target="2023\23-026" TargetMode="External"/><Relationship Id="rId816" Type="http://schemas.openxmlformats.org/officeDocument/2006/relationships/hyperlink" Target="file:///\\stratfs1.clemmertech.net\public\QCI%20Division\Quality%20Documentation-QCI\Alert%20System\Alerts\2024\24-134" TargetMode="External"/><Relationship Id="rId1001" Type="http://schemas.openxmlformats.org/officeDocument/2006/relationships/hyperlink" Target="file:///\\stratfs1.clemmertech.net\public\QCI%20Division\Quality%20Documentation-QCI\Alert%20System\Alerts\2025\25-164" TargetMode="External"/><Relationship Id="rId248" Type="http://schemas.openxmlformats.org/officeDocument/2006/relationships/hyperlink" Target="2020\20-011" TargetMode="External"/><Relationship Id="rId455" Type="http://schemas.openxmlformats.org/officeDocument/2006/relationships/hyperlink" Target="2022\22-018" TargetMode="External"/><Relationship Id="rId662" Type="http://schemas.openxmlformats.org/officeDocument/2006/relationships/hyperlink" Target="2023/23-094" TargetMode="External"/><Relationship Id="rId12" Type="http://schemas.openxmlformats.org/officeDocument/2006/relationships/hyperlink" Target="../../../ccharlebois/AppData/Roaming/Microsoft/Excel/2017/17-011" TargetMode="External"/><Relationship Id="rId108" Type="http://schemas.openxmlformats.org/officeDocument/2006/relationships/hyperlink" Target="../../../ccharlebois/AppData/Roaming/Microsoft/Excel/2019/19-019" TargetMode="External"/><Relationship Id="rId315" Type="http://schemas.openxmlformats.org/officeDocument/2006/relationships/hyperlink" Target="2020\20-075" TargetMode="External"/><Relationship Id="rId522" Type="http://schemas.openxmlformats.org/officeDocument/2006/relationships/hyperlink" Target="2022\22-085" TargetMode="External"/><Relationship Id="rId967" Type="http://schemas.openxmlformats.org/officeDocument/2006/relationships/hyperlink" Target="file:///\\stratfs1\public\QCI%20Division\Quality%20Documentation-QCI\Alert%20System\Alerts\2025\25-120" TargetMode="External"/><Relationship Id="rId96" Type="http://schemas.openxmlformats.org/officeDocument/2006/relationships/hyperlink" Target="../../../ccharlebois/AppData/Roaming/Microsoft/Excel/2019/19-007" TargetMode="External"/><Relationship Id="rId161" Type="http://schemas.openxmlformats.org/officeDocument/2006/relationships/hyperlink" Target="../../../ccharlebois/AppData/Roaming/Microsoft/Excel/2019/19-074/19-074.doc" TargetMode="External"/><Relationship Id="rId399" Type="http://schemas.openxmlformats.org/officeDocument/2006/relationships/hyperlink" Target="2021\21-160" TargetMode="External"/><Relationship Id="rId827" Type="http://schemas.openxmlformats.org/officeDocument/2006/relationships/hyperlink" Target="file:///\\stratfs1.clemmertech.net\public\QCI%20Division\Quality%20Documentation-QCI\Alert%20System\Alerts\2024\24-138" TargetMode="External"/><Relationship Id="rId1012" Type="http://schemas.openxmlformats.org/officeDocument/2006/relationships/printerSettings" Target="../printerSettings/printerSettings1.bin"/><Relationship Id="rId259" Type="http://schemas.openxmlformats.org/officeDocument/2006/relationships/hyperlink" Target="2020\20-028" TargetMode="External"/><Relationship Id="rId466" Type="http://schemas.openxmlformats.org/officeDocument/2006/relationships/hyperlink" Target="2022\22-029" TargetMode="External"/><Relationship Id="rId673" Type="http://schemas.openxmlformats.org/officeDocument/2006/relationships/hyperlink" Target="2023\23-105" TargetMode="External"/><Relationship Id="rId880" Type="http://schemas.openxmlformats.org/officeDocument/2006/relationships/hyperlink" Target="file:///\\stratfs1.clemmertech.net\public\QCI%20Division\Quality%20Documentation-QCI\Alert%20System\Alerts\2025\25-024" TargetMode="External"/><Relationship Id="rId23" Type="http://schemas.openxmlformats.org/officeDocument/2006/relationships/hyperlink" Target="../../../ccharlebois/AppData/Roaming/Microsoft/Excel/2017/17-021" TargetMode="External"/><Relationship Id="rId119" Type="http://schemas.openxmlformats.org/officeDocument/2006/relationships/hyperlink" Target="../../../ccharlebois/AppData/Roaming/Microsoft/Excel/2019/19-029" TargetMode="External"/><Relationship Id="rId326" Type="http://schemas.openxmlformats.org/officeDocument/2006/relationships/hyperlink" Target="2020\20-087" TargetMode="External"/><Relationship Id="rId533" Type="http://schemas.openxmlformats.org/officeDocument/2006/relationships/hyperlink" Target="2022\22-097" TargetMode="External"/><Relationship Id="rId978" Type="http://schemas.openxmlformats.org/officeDocument/2006/relationships/hyperlink" Target="file:///\\stratfs1\public\QCI%20Division\Quality%20Documentation-QCI\Alert%20System\Alerts\2025\25-135" TargetMode="External"/><Relationship Id="rId740" Type="http://schemas.openxmlformats.org/officeDocument/2006/relationships/hyperlink" Target="2024\24-050" TargetMode="External"/><Relationship Id="rId838" Type="http://schemas.openxmlformats.org/officeDocument/2006/relationships/hyperlink" Target="file:///\\stratfs1\public\QCI%20Division\Quality%20Documentation-QCI\Alert%20System\Alerts\2024\24-163" TargetMode="External"/><Relationship Id="rId172" Type="http://schemas.openxmlformats.org/officeDocument/2006/relationships/hyperlink" Target="../../../ccharlebois/AppData/Roaming/Microsoft/Excel/2019/19-085" TargetMode="External"/><Relationship Id="rId477" Type="http://schemas.openxmlformats.org/officeDocument/2006/relationships/hyperlink" Target="2022\22-040" TargetMode="External"/><Relationship Id="rId600" Type="http://schemas.openxmlformats.org/officeDocument/2006/relationships/hyperlink" Target="2023\23-032" TargetMode="External"/><Relationship Id="rId684" Type="http://schemas.openxmlformats.org/officeDocument/2006/relationships/hyperlink" Target="2023\23-116\QA%2023-116.doc" TargetMode="External"/><Relationship Id="rId337" Type="http://schemas.openxmlformats.org/officeDocument/2006/relationships/hyperlink" Target="2020\20-098" TargetMode="External"/><Relationship Id="rId891" Type="http://schemas.openxmlformats.org/officeDocument/2006/relationships/hyperlink" Target="file:///\\stratfs1.clemmertech.net\public\QCI%20Division\Quality%20Documentation-QCI\Alert%20System\Alerts\2025\25-037" TargetMode="External"/><Relationship Id="rId905" Type="http://schemas.openxmlformats.org/officeDocument/2006/relationships/hyperlink" Target="file:///\\stratfs1.clemmertech.net\public\QCI%20Division\Quality%20Documentation-QCI\Alert%20System\Alerts\2025\25-053" TargetMode="External"/><Relationship Id="rId989" Type="http://schemas.openxmlformats.org/officeDocument/2006/relationships/hyperlink" Target="file:///\\stratfs1\public\QCI%20Division\Quality%20Documentation-QCI\Alert%20System\Alerts\2025\25-146" TargetMode="External"/><Relationship Id="rId34" Type="http://schemas.openxmlformats.org/officeDocument/2006/relationships/hyperlink" Target="../../../ccharlebois/AppData/Roaming/Microsoft/Excel/2017/17-037" TargetMode="External"/><Relationship Id="rId544" Type="http://schemas.openxmlformats.org/officeDocument/2006/relationships/hyperlink" Target="2022\22-107" TargetMode="External"/><Relationship Id="rId751" Type="http://schemas.openxmlformats.org/officeDocument/2006/relationships/hyperlink" Target="2024\24-061" TargetMode="External"/><Relationship Id="rId849" Type="http://schemas.openxmlformats.org/officeDocument/2006/relationships/hyperlink" Target="file:///\\stratfs1.clemmertech.net\public\QCI%20Division\Quality%20Documentation-QCI\Alert%20System\Alerts\2024\24-173" TargetMode="External"/><Relationship Id="rId183" Type="http://schemas.openxmlformats.org/officeDocument/2006/relationships/hyperlink" Target="../../../ccharlebois/AppData/Roaming/Microsoft/Excel/2019/19-097" TargetMode="External"/><Relationship Id="rId390" Type="http://schemas.openxmlformats.org/officeDocument/2006/relationships/hyperlink" Target="2021\21-151" TargetMode="External"/><Relationship Id="rId404" Type="http://schemas.openxmlformats.org/officeDocument/2006/relationships/hyperlink" Target="2021\21-169" TargetMode="External"/><Relationship Id="rId611" Type="http://schemas.openxmlformats.org/officeDocument/2006/relationships/hyperlink" Target="2023/23-042" TargetMode="External"/><Relationship Id="rId250" Type="http://schemas.openxmlformats.org/officeDocument/2006/relationships/hyperlink" Target="2020\20-013" TargetMode="External"/><Relationship Id="rId488" Type="http://schemas.openxmlformats.org/officeDocument/2006/relationships/hyperlink" Target="2022\22-052" TargetMode="External"/><Relationship Id="rId695" Type="http://schemas.openxmlformats.org/officeDocument/2006/relationships/hyperlink" Target="2024\24-004\QA%2024-004.doc" TargetMode="External"/><Relationship Id="rId709" Type="http://schemas.openxmlformats.org/officeDocument/2006/relationships/hyperlink" Target="2024\24-019" TargetMode="External"/><Relationship Id="rId916" Type="http://schemas.openxmlformats.org/officeDocument/2006/relationships/hyperlink" Target="file:///\\stratfs1.clemmertech.net\public\QCI%20Division\Quality%20Documentation-QCI\Alert%20System\Alerts\2025\25-064" TargetMode="External"/><Relationship Id="rId45" Type="http://schemas.openxmlformats.org/officeDocument/2006/relationships/hyperlink" Target="../../../ccharlebois/AppData/Roaming/Microsoft/Excel/2018/18-002.doc" TargetMode="External"/><Relationship Id="rId110" Type="http://schemas.openxmlformats.org/officeDocument/2006/relationships/hyperlink" Target="../../../ccharlebois/AppData/Roaming/Microsoft/Excel/2019/19-021" TargetMode="External"/><Relationship Id="rId348" Type="http://schemas.openxmlformats.org/officeDocument/2006/relationships/hyperlink" Target="2020\20-111" TargetMode="External"/><Relationship Id="rId555" Type="http://schemas.openxmlformats.org/officeDocument/2006/relationships/hyperlink" Target="2022\22-118" TargetMode="External"/><Relationship Id="rId762" Type="http://schemas.openxmlformats.org/officeDocument/2006/relationships/hyperlink" Target="2024\24-072" TargetMode="External"/><Relationship Id="rId194" Type="http://schemas.openxmlformats.org/officeDocument/2006/relationships/hyperlink" Target="../../../ccharlebois/AppData/Roaming/Microsoft/Excel/2019/19-098" TargetMode="External"/><Relationship Id="rId208" Type="http://schemas.openxmlformats.org/officeDocument/2006/relationships/hyperlink" Target="../../../ccharlebois/AppData/Roaming/Microsoft/Excel/2019/19-122" TargetMode="External"/><Relationship Id="rId415" Type="http://schemas.openxmlformats.org/officeDocument/2006/relationships/hyperlink" Target="2021\21-185" TargetMode="External"/><Relationship Id="rId622" Type="http://schemas.openxmlformats.org/officeDocument/2006/relationships/hyperlink" Target="2023\23-055" TargetMode="External"/><Relationship Id="rId261" Type="http://schemas.openxmlformats.org/officeDocument/2006/relationships/hyperlink" Target="../../../ccharlebois/AppData/Roaming/Microsoft/Excel/2019/19-152" TargetMode="External"/><Relationship Id="rId499" Type="http://schemas.openxmlformats.org/officeDocument/2006/relationships/hyperlink" Target="2022\22-062" TargetMode="External"/><Relationship Id="rId927" Type="http://schemas.openxmlformats.org/officeDocument/2006/relationships/hyperlink" Target="file:///\\stratfs1.clemmertech.net\public\QCI%20Division\Quality%20Documentation-QCI\Alert%20System\Alerts\2025\25-074" TargetMode="External"/><Relationship Id="rId56" Type="http://schemas.openxmlformats.org/officeDocument/2006/relationships/hyperlink" Target="../../../ccharlebois/AppData/Roaming/Microsoft/Excel/2018/18-014.doc" TargetMode="External"/><Relationship Id="rId359" Type="http://schemas.openxmlformats.org/officeDocument/2006/relationships/hyperlink" Target="2020" TargetMode="External"/><Relationship Id="rId566" Type="http://schemas.openxmlformats.org/officeDocument/2006/relationships/hyperlink" Target="2022\22-129" TargetMode="External"/><Relationship Id="rId773" Type="http://schemas.openxmlformats.org/officeDocument/2006/relationships/hyperlink" Target="2024\24-083" TargetMode="External"/><Relationship Id="rId121" Type="http://schemas.openxmlformats.org/officeDocument/2006/relationships/hyperlink" Target="../../../ccharlebois/AppData/Roaming/Microsoft/Excel/2019/19-031" TargetMode="External"/><Relationship Id="rId219" Type="http://schemas.openxmlformats.org/officeDocument/2006/relationships/hyperlink" Target="../../../ccharlebois/AppData/Roaming/Microsoft/Excel/2019/19-133" TargetMode="External"/><Relationship Id="rId426" Type="http://schemas.openxmlformats.org/officeDocument/2006/relationships/hyperlink" Target="2021\21-199" TargetMode="External"/><Relationship Id="rId633" Type="http://schemas.openxmlformats.org/officeDocument/2006/relationships/hyperlink" Target="2023\23-065" TargetMode="External"/><Relationship Id="rId980" Type="http://schemas.openxmlformats.org/officeDocument/2006/relationships/hyperlink" Target="file:///\\stratfs1\public\QCI%20Division\Quality%20Documentation-QCI\Alert%20System\Alerts\2025\25-137" TargetMode="External"/><Relationship Id="rId840" Type="http://schemas.openxmlformats.org/officeDocument/2006/relationships/hyperlink" Target="file:///\\stratfs1\public\QCI%20Division\Quality%20Documentation-QCI\Alert%20System\Alerts\2024\24-165" TargetMode="External"/><Relationship Id="rId938" Type="http://schemas.openxmlformats.org/officeDocument/2006/relationships/hyperlink" Target="file:///\\stratfs1.clemmertech.net\public\QCI%20Division\Quality%20Documentation-QCI\Alert%20System\Alerts\2025\25-086" TargetMode="External"/><Relationship Id="rId67" Type="http://schemas.openxmlformats.org/officeDocument/2006/relationships/hyperlink" Target="../../../ccharlebois/AppData/Roaming/Microsoft/Excel/2018/18-025.doc" TargetMode="External"/><Relationship Id="rId272" Type="http://schemas.openxmlformats.org/officeDocument/2006/relationships/hyperlink" Target="2020\20-034" TargetMode="External"/><Relationship Id="rId577" Type="http://schemas.openxmlformats.org/officeDocument/2006/relationships/hyperlink" Target="2023\23-007" TargetMode="External"/><Relationship Id="rId700" Type="http://schemas.openxmlformats.org/officeDocument/2006/relationships/hyperlink" Target="2024/24-009" TargetMode="External"/><Relationship Id="rId132" Type="http://schemas.openxmlformats.org/officeDocument/2006/relationships/hyperlink" Target="../../../ccharlebois/AppData/Roaming/Microsoft/Excel/2019/19-044" TargetMode="External"/><Relationship Id="rId784" Type="http://schemas.openxmlformats.org/officeDocument/2006/relationships/hyperlink" Target="2024\24-096\24-096.doc" TargetMode="External"/><Relationship Id="rId991" Type="http://schemas.openxmlformats.org/officeDocument/2006/relationships/hyperlink" Target="file:///\\stratfs1\public\QCI%20Division\Quality%20Documentation-QCI\Alert%20System\Alerts\2025\25-148" TargetMode="External"/><Relationship Id="rId437" Type="http://schemas.openxmlformats.org/officeDocument/2006/relationships/hyperlink" Target="2021\21-201" TargetMode="External"/><Relationship Id="rId644" Type="http://schemas.openxmlformats.org/officeDocument/2006/relationships/hyperlink" Target="2023\23-076" TargetMode="External"/><Relationship Id="rId851" Type="http://schemas.openxmlformats.org/officeDocument/2006/relationships/hyperlink" Target="file:///\\stratfs1.clemmertech.net\public\QCI%20Division\Quality%20Documentation-QCI\Alert%20System\Alerts\2024\24-175" TargetMode="External"/><Relationship Id="rId283" Type="http://schemas.openxmlformats.org/officeDocument/2006/relationships/hyperlink" Target="2020\20-045" TargetMode="External"/><Relationship Id="rId490" Type="http://schemas.openxmlformats.org/officeDocument/2006/relationships/hyperlink" Target="2022\22-054" TargetMode="External"/><Relationship Id="rId504" Type="http://schemas.openxmlformats.org/officeDocument/2006/relationships/hyperlink" Target="2022\22-067" TargetMode="External"/><Relationship Id="rId711" Type="http://schemas.openxmlformats.org/officeDocument/2006/relationships/hyperlink" Target="2024\24-021" TargetMode="External"/><Relationship Id="rId949" Type="http://schemas.openxmlformats.org/officeDocument/2006/relationships/hyperlink" Target="file:///\\stratfs1.clemmertech.net\public\QCI%20Division\Quality%20Documentation-QCI\Alert%20System\Alerts\2025\25-099" TargetMode="External"/><Relationship Id="rId78" Type="http://schemas.openxmlformats.org/officeDocument/2006/relationships/hyperlink" Target="file:///\\stratfs1.clemmertech.net\public\QCI%20Division\Quality%20Documentation-QCI\Alert%20System\Alerts\2025" TargetMode="External"/><Relationship Id="rId143" Type="http://schemas.openxmlformats.org/officeDocument/2006/relationships/hyperlink" Target="../../../ccharlebois/AppData/Roaming/Microsoft/Excel/2019/19-054" TargetMode="External"/><Relationship Id="rId350" Type="http://schemas.openxmlformats.org/officeDocument/2006/relationships/hyperlink" Target="2020\20-114" TargetMode="External"/><Relationship Id="rId588" Type="http://schemas.openxmlformats.org/officeDocument/2006/relationships/hyperlink" Target="2023\23-018" TargetMode="External"/><Relationship Id="rId795" Type="http://schemas.openxmlformats.org/officeDocument/2006/relationships/hyperlink" Target="file:///\\stratfs1\Public\QCI%20Division\Quality%20Documentation-QCI\Alert%20System\Alerts\2024\24-112" TargetMode="External"/><Relationship Id="rId809" Type="http://schemas.openxmlformats.org/officeDocument/2006/relationships/hyperlink" Target="file:///\\stratfs1.clemmertech.net\public\QCI%20Division\Quality%20Documentation-QCI\Alert%20System\Alerts\2024\24-126" TargetMode="External"/><Relationship Id="rId9" Type="http://schemas.openxmlformats.org/officeDocument/2006/relationships/hyperlink" Target="../../../ccharlebois/AppData/Roaming/Microsoft/Excel/2017/17-008" TargetMode="External"/><Relationship Id="rId210" Type="http://schemas.openxmlformats.org/officeDocument/2006/relationships/hyperlink" Target="../../../ccharlebois/AppData/Roaming/Microsoft/Excel/2019/19-124" TargetMode="External"/><Relationship Id="rId448" Type="http://schemas.openxmlformats.org/officeDocument/2006/relationships/hyperlink" Target="2022\22-014" TargetMode="External"/><Relationship Id="rId655" Type="http://schemas.openxmlformats.org/officeDocument/2006/relationships/hyperlink" Target="2023\23-087" TargetMode="External"/><Relationship Id="rId862" Type="http://schemas.openxmlformats.org/officeDocument/2006/relationships/hyperlink" Target="file:///\\stratfs1.clemmertech.net\public\QCI%20Division\Quality%20Documentation-QCI\Alert%20System\Alerts\2025\25-006" TargetMode="External"/><Relationship Id="rId294" Type="http://schemas.openxmlformats.org/officeDocument/2006/relationships/hyperlink" Target="2020\20-051" TargetMode="External"/><Relationship Id="rId308" Type="http://schemas.openxmlformats.org/officeDocument/2006/relationships/hyperlink" Target="2020\20-068" TargetMode="External"/><Relationship Id="rId515" Type="http://schemas.openxmlformats.org/officeDocument/2006/relationships/hyperlink" Target="2022\22-078" TargetMode="External"/><Relationship Id="rId722" Type="http://schemas.openxmlformats.org/officeDocument/2006/relationships/hyperlink" Target="2024\24-031" TargetMode="External"/><Relationship Id="rId89" Type="http://schemas.openxmlformats.org/officeDocument/2006/relationships/hyperlink" Target="../../../ccharlebois/AppData/Roaming/Microsoft/Excel/2019/19-047.doc" TargetMode="External"/><Relationship Id="rId154" Type="http://schemas.openxmlformats.org/officeDocument/2006/relationships/hyperlink" Target="../../../ccharlebois/AppData/Roaming/Microsoft/Excel/2019/19-066" TargetMode="External"/><Relationship Id="rId361" Type="http://schemas.openxmlformats.org/officeDocument/2006/relationships/hyperlink" Target="2020" TargetMode="External"/><Relationship Id="rId599" Type="http://schemas.openxmlformats.org/officeDocument/2006/relationships/hyperlink" Target="2023\23-031" TargetMode="External"/><Relationship Id="rId1005" Type="http://schemas.openxmlformats.org/officeDocument/2006/relationships/hyperlink" Target="file:///\\stratfs1.clemmertech.net\public\QCI%20Division\Quality%20Documentation-QCI\Alert%20System\Alerts\2025\25-172" TargetMode="External"/><Relationship Id="rId459" Type="http://schemas.openxmlformats.org/officeDocument/2006/relationships/hyperlink" Target="2022\22-022" TargetMode="External"/><Relationship Id="rId666" Type="http://schemas.openxmlformats.org/officeDocument/2006/relationships/hyperlink" Target="2023\23-098" TargetMode="External"/><Relationship Id="rId873" Type="http://schemas.openxmlformats.org/officeDocument/2006/relationships/hyperlink" Target="file:///\\stratfs1.clemmertech.net\public\QCI%20Division\Quality%20Documentation-QCI\Alert%20System\Alerts\2025\25-017" TargetMode="External"/><Relationship Id="rId16" Type="http://schemas.openxmlformats.org/officeDocument/2006/relationships/hyperlink" Target="../../../ccharlebois/AppData/Roaming/Microsoft/Excel/2017/17-002" TargetMode="External"/><Relationship Id="rId221" Type="http://schemas.openxmlformats.org/officeDocument/2006/relationships/hyperlink" Target="../../../ccharlebois/AppData/Roaming/Microsoft/Excel/2019/19-135" TargetMode="External"/><Relationship Id="rId319" Type="http://schemas.openxmlformats.org/officeDocument/2006/relationships/hyperlink" Target="2020\20-077" TargetMode="External"/><Relationship Id="rId526" Type="http://schemas.openxmlformats.org/officeDocument/2006/relationships/hyperlink" Target="2022\22-092" TargetMode="External"/><Relationship Id="rId733" Type="http://schemas.openxmlformats.org/officeDocument/2006/relationships/hyperlink" Target="2024\24-043" TargetMode="External"/><Relationship Id="rId940" Type="http://schemas.openxmlformats.org/officeDocument/2006/relationships/hyperlink" Target="file:///\\stratfs1.clemmertech.net\public\QCI%20Division\Quality%20Documentation-QCI\Alert%20System\Alerts\2025\25-088" TargetMode="External"/><Relationship Id="rId1016" Type="http://schemas.openxmlformats.org/officeDocument/2006/relationships/table" Target="../tables/table1.xml"/><Relationship Id="rId165" Type="http://schemas.openxmlformats.org/officeDocument/2006/relationships/hyperlink" Target="../../../ccharlebois/AppData/Roaming/Microsoft/Excel/2019/19-079" TargetMode="External"/><Relationship Id="rId372" Type="http://schemas.openxmlformats.org/officeDocument/2006/relationships/hyperlink" Target="2020" TargetMode="External"/><Relationship Id="rId677" Type="http://schemas.openxmlformats.org/officeDocument/2006/relationships/hyperlink" Target="2023\23-109" TargetMode="External"/><Relationship Id="rId800" Type="http://schemas.openxmlformats.org/officeDocument/2006/relationships/hyperlink" Target="file:///\\stratfs1.clemmertech.net\public\QCI%20Division\Quality%20Documentation-QCI\Alert%20System\Alerts\2024\24-115" TargetMode="External"/><Relationship Id="rId232" Type="http://schemas.openxmlformats.org/officeDocument/2006/relationships/hyperlink" Target="../../../ccharlebois/AppData/Roaming/Microsoft/Excel/2019/19-144" TargetMode="External"/><Relationship Id="rId884" Type="http://schemas.openxmlformats.org/officeDocument/2006/relationships/hyperlink" Target="file:///\\stratfs1.clemmertech.net\public\QCI%20Division\Quality%20Documentation-QCI\Alert%20System\Alerts\2025\25-029" TargetMode="External"/><Relationship Id="rId27" Type="http://schemas.openxmlformats.org/officeDocument/2006/relationships/hyperlink" Target="../../../ccharlebois/AppData/Roaming/Microsoft/Excel/2017/17-029.doc" TargetMode="External"/><Relationship Id="rId537" Type="http://schemas.openxmlformats.org/officeDocument/2006/relationships/hyperlink" Target="2022\22-100" TargetMode="External"/><Relationship Id="rId744" Type="http://schemas.openxmlformats.org/officeDocument/2006/relationships/hyperlink" Target="2024\24-055" TargetMode="External"/><Relationship Id="rId951" Type="http://schemas.openxmlformats.org/officeDocument/2006/relationships/hyperlink" Target="file:///\\stratfs1.clemmertech.net\public\QCI%20Division\Quality%20Documentation-QCI\Alert%20System\Alerts\2025\25-102" TargetMode="External"/><Relationship Id="rId80" Type="http://schemas.openxmlformats.org/officeDocument/2006/relationships/hyperlink" Target="../../../ccharlebois/AppData/Roaming/Microsoft/Excel/2018/18-038" TargetMode="External"/><Relationship Id="rId176" Type="http://schemas.openxmlformats.org/officeDocument/2006/relationships/hyperlink" Target="../../../ccharlebois/AppData/Roaming/Microsoft/Excel/2019/19-089" TargetMode="External"/><Relationship Id="rId383" Type="http://schemas.openxmlformats.org/officeDocument/2006/relationships/hyperlink" Target="2021\21-144" TargetMode="External"/><Relationship Id="rId590" Type="http://schemas.openxmlformats.org/officeDocument/2006/relationships/hyperlink" Target="2023\23-020" TargetMode="External"/><Relationship Id="rId604" Type="http://schemas.openxmlformats.org/officeDocument/2006/relationships/hyperlink" Target="2023\23-036" TargetMode="External"/><Relationship Id="rId811" Type="http://schemas.openxmlformats.org/officeDocument/2006/relationships/hyperlink" Target="file:///\\stratfs1.clemmertech.net\public\QCI%20Division\Quality%20Documentation-QCI\Alert%20System\Alerts\2024\24-129" TargetMode="External"/><Relationship Id="rId243" Type="http://schemas.openxmlformats.org/officeDocument/2006/relationships/hyperlink" Target="2020\20-006" TargetMode="External"/><Relationship Id="rId450" Type="http://schemas.openxmlformats.org/officeDocument/2006/relationships/hyperlink" Target="2022\22-016" TargetMode="External"/><Relationship Id="rId688" Type="http://schemas.openxmlformats.org/officeDocument/2006/relationships/hyperlink" Target="2023\23-120" TargetMode="External"/><Relationship Id="rId895" Type="http://schemas.openxmlformats.org/officeDocument/2006/relationships/hyperlink" Target="file:///\\stratfs1.clemmertech.net\public\QCI%20Division\Quality%20Documentation-QCI\Alert%20System\Alerts\2025\25-042" TargetMode="External"/><Relationship Id="rId909" Type="http://schemas.openxmlformats.org/officeDocument/2006/relationships/hyperlink" Target="file:///\\stratfs1.clemmertech.net\public\QCI%20Division\Quality%20Documentation-QCI\Alert%20System\Alerts\2025\25-057" TargetMode="External"/><Relationship Id="rId38" Type="http://schemas.openxmlformats.org/officeDocument/2006/relationships/hyperlink" Target="../../../ccharlebois/AppData/Roaming/Microsoft/Excel/2017/17-042" TargetMode="External"/><Relationship Id="rId103" Type="http://schemas.openxmlformats.org/officeDocument/2006/relationships/hyperlink" Target="../../../ccharlebois/AppData/Roaming/Microsoft/Excel/2019/19-014" TargetMode="External"/><Relationship Id="rId310" Type="http://schemas.openxmlformats.org/officeDocument/2006/relationships/hyperlink" Target="2020\20-070" TargetMode="External"/><Relationship Id="rId548" Type="http://schemas.openxmlformats.org/officeDocument/2006/relationships/hyperlink" Target="2022\22-111" TargetMode="External"/><Relationship Id="rId755" Type="http://schemas.openxmlformats.org/officeDocument/2006/relationships/hyperlink" Target="2024/24-065" TargetMode="External"/><Relationship Id="rId962" Type="http://schemas.openxmlformats.org/officeDocument/2006/relationships/hyperlink" Target="file:///\\stratfs1.clemmertech.net\public\QCI%20Division\Quality%20Documentation-QCI\Alert%20System\Alerts\2025\25-113" TargetMode="External"/><Relationship Id="rId91" Type="http://schemas.openxmlformats.org/officeDocument/2006/relationships/hyperlink" Target="../../../ccharlebois/AppData/Roaming/Microsoft/Excel/2019" TargetMode="External"/><Relationship Id="rId187" Type="http://schemas.openxmlformats.org/officeDocument/2006/relationships/hyperlink" Target="../../../ccharlebois/AppData/Roaming/Microsoft/Excel/2019/19-103" TargetMode="External"/><Relationship Id="rId394" Type="http://schemas.openxmlformats.org/officeDocument/2006/relationships/hyperlink" Target="2021\21-155" TargetMode="External"/><Relationship Id="rId408" Type="http://schemas.openxmlformats.org/officeDocument/2006/relationships/hyperlink" Target="2021\21-178" TargetMode="External"/><Relationship Id="rId615" Type="http://schemas.openxmlformats.org/officeDocument/2006/relationships/hyperlink" Target="2023\23-047" TargetMode="External"/><Relationship Id="rId822" Type="http://schemas.openxmlformats.org/officeDocument/2006/relationships/hyperlink" Target="file:///\\stratfs1.clemmertech.net\public\QCI%20Division\Quality%20Documentation-QCI\Alert%20System\Alerts\2024\24-144" TargetMode="External"/><Relationship Id="rId254" Type="http://schemas.openxmlformats.org/officeDocument/2006/relationships/hyperlink" Target="2020\20-017" TargetMode="External"/><Relationship Id="rId699" Type="http://schemas.openxmlformats.org/officeDocument/2006/relationships/hyperlink" Target="2024\24-008" TargetMode="External"/><Relationship Id="rId49" Type="http://schemas.openxmlformats.org/officeDocument/2006/relationships/hyperlink" Target="../../../ccharlebois/AppData/Roaming/Microsoft/Excel/2018/18-007.doc" TargetMode="External"/><Relationship Id="rId114" Type="http://schemas.openxmlformats.org/officeDocument/2006/relationships/hyperlink" Target="../../../ccharlebois/AppData/Roaming/Microsoft/Excel/2019/19-024" TargetMode="External"/><Relationship Id="rId461" Type="http://schemas.openxmlformats.org/officeDocument/2006/relationships/hyperlink" Target="2022\22-024" TargetMode="External"/><Relationship Id="rId559" Type="http://schemas.openxmlformats.org/officeDocument/2006/relationships/hyperlink" Target="2022\22-122" TargetMode="External"/><Relationship Id="rId766" Type="http://schemas.openxmlformats.org/officeDocument/2006/relationships/hyperlink" Target="2024\24-076" TargetMode="External"/><Relationship Id="rId198" Type="http://schemas.openxmlformats.org/officeDocument/2006/relationships/hyperlink" Target="../../../ccharlebois/AppData/Roaming/Microsoft/Excel/2019/19-111" TargetMode="External"/><Relationship Id="rId321" Type="http://schemas.openxmlformats.org/officeDocument/2006/relationships/hyperlink" Target="2020\20-082" TargetMode="External"/><Relationship Id="rId419" Type="http://schemas.openxmlformats.org/officeDocument/2006/relationships/hyperlink" Target="2021\21-190" TargetMode="External"/><Relationship Id="rId626" Type="http://schemas.openxmlformats.org/officeDocument/2006/relationships/hyperlink" Target="2023\23-058\23-058.doc" TargetMode="External"/><Relationship Id="rId973" Type="http://schemas.openxmlformats.org/officeDocument/2006/relationships/hyperlink" Target="file:///\\stratfs1\public\QCI%20Division\Quality%20Documentation-QCI\Alert%20System\Alerts\2025\25-127" TargetMode="External"/><Relationship Id="rId833" Type="http://schemas.openxmlformats.org/officeDocument/2006/relationships/hyperlink" Target="file:///\\stratfs1\public\QCI%20Division\Quality%20Documentation-QCI\Alert%20System\Alerts\2024\24-154" TargetMode="External"/><Relationship Id="rId265" Type="http://schemas.openxmlformats.org/officeDocument/2006/relationships/hyperlink" Target="2020\20-029" TargetMode="External"/><Relationship Id="rId472" Type="http://schemas.openxmlformats.org/officeDocument/2006/relationships/hyperlink" Target="2022\22-035" TargetMode="External"/><Relationship Id="rId900" Type="http://schemas.openxmlformats.org/officeDocument/2006/relationships/hyperlink" Target="file:///\\stratfs1.clemmertech.net\public\QCI%20Division\Quality%20Documentation-QCI\Alert%20System\Alerts\2025\25-048" TargetMode="External"/><Relationship Id="rId125" Type="http://schemas.openxmlformats.org/officeDocument/2006/relationships/hyperlink" Target="../../../ccharlebois/AppData/Roaming/Microsoft/Excel/2019/19-036" TargetMode="External"/><Relationship Id="rId332" Type="http://schemas.openxmlformats.org/officeDocument/2006/relationships/hyperlink" Target="2020\20-092" TargetMode="External"/><Relationship Id="rId777" Type="http://schemas.openxmlformats.org/officeDocument/2006/relationships/hyperlink" Target="2024\24-087" TargetMode="External"/><Relationship Id="rId984" Type="http://schemas.openxmlformats.org/officeDocument/2006/relationships/hyperlink" Target="file:///\\stratfs1\public\QCI%20Division\Quality%20Documentation-QCI\Alert%20System\Alerts\2025\25-139" TargetMode="External"/><Relationship Id="rId637" Type="http://schemas.openxmlformats.org/officeDocument/2006/relationships/hyperlink" Target="2023\23-069" TargetMode="External"/><Relationship Id="rId844" Type="http://schemas.openxmlformats.org/officeDocument/2006/relationships/hyperlink" Target="file:///\\stratfs1.clemmertech.net\public\QCI%20Division\Quality%20Documentation-QCI\Alert%20System\Alerts\2024\24-169" TargetMode="External"/><Relationship Id="rId276" Type="http://schemas.openxmlformats.org/officeDocument/2006/relationships/hyperlink" Target="2020\20-038" TargetMode="External"/><Relationship Id="rId483" Type="http://schemas.openxmlformats.org/officeDocument/2006/relationships/hyperlink" Target="2022\22-046" TargetMode="External"/><Relationship Id="rId690" Type="http://schemas.openxmlformats.org/officeDocument/2006/relationships/hyperlink" Target="2023\23-123\QA%2023-123.doc" TargetMode="External"/><Relationship Id="rId704" Type="http://schemas.openxmlformats.org/officeDocument/2006/relationships/hyperlink" Target="2024\24-013" TargetMode="External"/><Relationship Id="rId911" Type="http://schemas.openxmlformats.org/officeDocument/2006/relationships/hyperlink" Target="file:///\\stratfs1.clemmertech.net\public\QCI%20Division\Quality%20Documentation-QCI\Alert%20System\Alerts\2025\25-059" TargetMode="External"/><Relationship Id="rId40" Type="http://schemas.openxmlformats.org/officeDocument/2006/relationships/hyperlink" Target="../../../ccharlebois/AppData/Roaming/Microsoft/Excel/2017/17-044" TargetMode="External"/><Relationship Id="rId136" Type="http://schemas.openxmlformats.org/officeDocument/2006/relationships/hyperlink" Target="../../../ccharlebois/AppData/Roaming/Microsoft/Excel/2019/19-047" TargetMode="External"/><Relationship Id="rId343" Type="http://schemas.openxmlformats.org/officeDocument/2006/relationships/hyperlink" Target="2020\20-105" TargetMode="External"/><Relationship Id="rId550" Type="http://schemas.openxmlformats.org/officeDocument/2006/relationships/hyperlink" Target="2022\22-114" TargetMode="External"/><Relationship Id="rId788" Type="http://schemas.openxmlformats.org/officeDocument/2006/relationships/hyperlink" Target="2024/24-099" TargetMode="External"/><Relationship Id="rId995" Type="http://schemas.openxmlformats.org/officeDocument/2006/relationships/hyperlink" Target="file:///\\stratfs1\public\QCI%20Division\Quality%20Documentation-QCI\Alert%20System\Alerts\2025\25-153" TargetMode="External"/><Relationship Id="rId203" Type="http://schemas.openxmlformats.org/officeDocument/2006/relationships/hyperlink" Target="../../../ccharlebois/AppData/Roaming/Microsoft/Excel/2019/19-116" TargetMode="External"/><Relationship Id="rId648" Type="http://schemas.openxmlformats.org/officeDocument/2006/relationships/hyperlink" Target="2023\23-080" TargetMode="External"/><Relationship Id="rId855" Type="http://schemas.openxmlformats.org/officeDocument/2006/relationships/hyperlink" Target="file:///\\stratfs1.clemmertech.net\public\QCI%20Division\Quality%20Documentation-QCI\Alert%20System\Alerts\2024\24-179" TargetMode="External"/><Relationship Id="rId287" Type="http://schemas.openxmlformats.org/officeDocument/2006/relationships/hyperlink" Target="2020\20-049" TargetMode="External"/><Relationship Id="rId410" Type="http://schemas.openxmlformats.org/officeDocument/2006/relationships/hyperlink" Target="2021\21-180" TargetMode="External"/><Relationship Id="rId494" Type="http://schemas.openxmlformats.org/officeDocument/2006/relationships/hyperlink" Target="2022\22-049" TargetMode="External"/><Relationship Id="rId508" Type="http://schemas.openxmlformats.org/officeDocument/2006/relationships/hyperlink" Target="2022\22-071" TargetMode="External"/><Relationship Id="rId715" Type="http://schemas.openxmlformats.org/officeDocument/2006/relationships/hyperlink" Target="2024\24-025" TargetMode="External"/><Relationship Id="rId922" Type="http://schemas.openxmlformats.org/officeDocument/2006/relationships/hyperlink" Target="file:///\\stratfs1.clemmertech.net\public\QCI%20Division\Quality%20Documentation-QCI\Alert%20System\Alerts\2025\25-070" TargetMode="External"/><Relationship Id="rId147" Type="http://schemas.openxmlformats.org/officeDocument/2006/relationships/hyperlink" Target="../../../ccharlebois/AppData/Roaming/Microsoft/Excel/2019/19-059" TargetMode="External"/><Relationship Id="rId354" Type="http://schemas.openxmlformats.org/officeDocument/2006/relationships/hyperlink" Target="2020\20-120" TargetMode="External"/><Relationship Id="rId799" Type="http://schemas.openxmlformats.org/officeDocument/2006/relationships/hyperlink" Target="file:///\\stratfs1.clemmertech.net\public\QCI%20Division\Quality%20Documentation-QCI\Alert%20System\Alerts\2024\24-117" TargetMode="External"/><Relationship Id="rId51" Type="http://schemas.openxmlformats.org/officeDocument/2006/relationships/hyperlink" Target="../../../ccharlebois/AppData/Roaming/Microsoft/Excel/2018/18-009.doc" TargetMode="External"/><Relationship Id="rId561" Type="http://schemas.openxmlformats.org/officeDocument/2006/relationships/hyperlink" Target="2022\22-124" TargetMode="External"/><Relationship Id="rId659" Type="http://schemas.openxmlformats.org/officeDocument/2006/relationships/hyperlink" Target="2023\23-093" TargetMode="External"/><Relationship Id="rId866" Type="http://schemas.openxmlformats.org/officeDocument/2006/relationships/hyperlink" Target="file:///\\stratfs1.clemmertech.net\public\QCI%20Division\Quality%20Documentation-QCI\Alert%20System\Alerts\2025\25-010" TargetMode="External"/><Relationship Id="rId214" Type="http://schemas.openxmlformats.org/officeDocument/2006/relationships/hyperlink" Target="../../../ccharlebois/AppData/Roaming/Microsoft/Excel/2019/19-128" TargetMode="External"/><Relationship Id="rId298" Type="http://schemas.openxmlformats.org/officeDocument/2006/relationships/hyperlink" Target="2020\20-057" TargetMode="External"/><Relationship Id="rId421" Type="http://schemas.openxmlformats.org/officeDocument/2006/relationships/hyperlink" Target="2021\21-192" TargetMode="External"/><Relationship Id="rId519" Type="http://schemas.openxmlformats.org/officeDocument/2006/relationships/hyperlink" Target="2022\22-082" TargetMode="External"/><Relationship Id="rId158" Type="http://schemas.openxmlformats.org/officeDocument/2006/relationships/hyperlink" Target="../../../ccharlebois/AppData/Roaming/Microsoft/Excel/2019/19-071" TargetMode="External"/><Relationship Id="rId726" Type="http://schemas.openxmlformats.org/officeDocument/2006/relationships/hyperlink" Target="2024/24-035" TargetMode="External"/><Relationship Id="rId933" Type="http://schemas.openxmlformats.org/officeDocument/2006/relationships/hyperlink" Target="file:///\\stratfs1.clemmertech.net\public\QCI%20Division\Quality%20Documentation-QCI\Alert%20System\Alerts\2025\25-081" TargetMode="External"/><Relationship Id="rId1009" Type="http://schemas.openxmlformats.org/officeDocument/2006/relationships/hyperlink" Target="file:///\\stratfs1.clemmertech.net\public\QCI%20Division\Quality%20Documentation-QCI\Alert%20System\Alerts\2025\25-175" TargetMode="External"/><Relationship Id="rId62" Type="http://schemas.openxmlformats.org/officeDocument/2006/relationships/hyperlink" Target="../../../ccharlebois/AppData/Roaming/Microsoft/Excel/2018/18-020" TargetMode="External"/><Relationship Id="rId365" Type="http://schemas.openxmlformats.org/officeDocument/2006/relationships/hyperlink" Target="2020\20-126" TargetMode="External"/><Relationship Id="rId572" Type="http://schemas.openxmlformats.org/officeDocument/2006/relationships/hyperlink" Target="2023\23-002" TargetMode="External"/><Relationship Id="rId225" Type="http://schemas.openxmlformats.org/officeDocument/2006/relationships/hyperlink" Target="../../../ccharlebois/AppData/Roaming/Microsoft/Excel/2019/19-138" TargetMode="External"/><Relationship Id="rId432" Type="http://schemas.openxmlformats.org/officeDocument/2006/relationships/hyperlink" Target="2021\21-206" TargetMode="External"/><Relationship Id="rId877" Type="http://schemas.openxmlformats.org/officeDocument/2006/relationships/hyperlink" Target="file:///\\stratfs1.clemmertech.net\public\QCI%20Division\Quality%20Documentation-QCI\Alert%20System\Alerts\2025\25-020" TargetMode="External"/><Relationship Id="rId737" Type="http://schemas.openxmlformats.org/officeDocument/2006/relationships/hyperlink" Target="2024\24-047" TargetMode="External"/><Relationship Id="rId944" Type="http://schemas.openxmlformats.org/officeDocument/2006/relationships/hyperlink" Target="file:///\\stratfs1.clemmertech.net\public\QCI%20Division\Quality%20Documentation-QCI\Alert%20System\Alerts\2025\25-094" TargetMode="External"/><Relationship Id="rId73" Type="http://schemas.openxmlformats.org/officeDocument/2006/relationships/hyperlink" Target="../../../ccharlebois/AppData/Roaming/Microsoft/Excel/2018/18-031" TargetMode="External"/><Relationship Id="rId169" Type="http://schemas.openxmlformats.org/officeDocument/2006/relationships/hyperlink" Target="../../../ccharlebois/AppData/Roaming/Microsoft/Excel/2019/19-082" TargetMode="External"/><Relationship Id="rId376" Type="http://schemas.openxmlformats.org/officeDocument/2006/relationships/hyperlink" Target="2020\20-137" TargetMode="External"/><Relationship Id="rId583" Type="http://schemas.openxmlformats.org/officeDocument/2006/relationships/hyperlink" Target="2023\23-013" TargetMode="External"/><Relationship Id="rId790" Type="http://schemas.openxmlformats.org/officeDocument/2006/relationships/hyperlink" Target="2024\24-101" TargetMode="External"/><Relationship Id="rId804" Type="http://schemas.openxmlformats.org/officeDocument/2006/relationships/hyperlink" Target="file:///\\stratfs1.clemmertech.net\public\QCI%20Division\Quality%20Documentation-QCI\Alert%20System\Alerts\2024\24-121" TargetMode="External"/><Relationship Id="rId4" Type="http://schemas.openxmlformats.org/officeDocument/2006/relationships/hyperlink" Target="../../../ccharlebois/AppData/Roaming/Microsoft/Excel/2017/17-003" TargetMode="External"/><Relationship Id="rId236" Type="http://schemas.openxmlformats.org/officeDocument/2006/relationships/hyperlink" Target="../../../ccharlebois/AppData/Roaming/Microsoft/Excel/2019/19-150" TargetMode="External"/><Relationship Id="rId443" Type="http://schemas.openxmlformats.org/officeDocument/2006/relationships/hyperlink" Target="2022\22-009" TargetMode="External"/><Relationship Id="rId650" Type="http://schemas.openxmlformats.org/officeDocument/2006/relationships/hyperlink" Target="2023\23-082" TargetMode="External"/><Relationship Id="rId888" Type="http://schemas.openxmlformats.org/officeDocument/2006/relationships/hyperlink" Target="file:///\\stratfs1.clemmertech.net\public\QCI%20Division\Quality%20Documentation-QCI\Alert%20System\Alerts\2025\25-034" TargetMode="External"/><Relationship Id="rId303" Type="http://schemas.openxmlformats.org/officeDocument/2006/relationships/hyperlink" Target="2020\20-063" TargetMode="External"/><Relationship Id="rId748" Type="http://schemas.openxmlformats.org/officeDocument/2006/relationships/hyperlink" Target="2024\24-059" TargetMode="External"/><Relationship Id="rId955" Type="http://schemas.openxmlformats.org/officeDocument/2006/relationships/hyperlink" Target="file:///\\stratfs1.clemmertech.net\public\QCI%20Division\Quality%20Documentation-QCI\Alert%20System\Alerts\2025\25-106" TargetMode="External"/><Relationship Id="rId84" Type="http://schemas.openxmlformats.org/officeDocument/2006/relationships/hyperlink" Target="../../../ccharlebois/AppData/Roaming/Microsoft/Excel/2018/18-042" TargetMode="External"/><Relationship Id="rId387" Type="http://schemas.openxmlformats.org/officeDocument/2006/relationships/hyperlink" Target="2021\21-148" TargetMode="External"/><Relationship Id="rId510" Type="http://schemas.openxmlformats.org/officeDocument/2006/relationships/hyperlink" Target="2022\22-073" TargetMode="External"/><Relationship Id="rId594" Type="http://schemas.openxmlformats.org/officeDocument/2006/relationships/hyperlink" Target="2023\23-027" TargetMode="External"/><Relationship Id="rId608" Type="http://schemas.openxmlformats.org/officeDocument/2006/relationships/hyperlink" Target="2023\23-041" TargetMode="External"/><Relationship Id="rId815" Type="http://schemas.openxmlformats.org/officeDocument/2006/relationships/hyperlink" Target="file:///\\stratfs1.clemmertech.net\public\QCI%20Division\Quality%20Documentation-QCI\Alert%20System\Alerts\2024\24-133" TargetMode="External"/><Relationship Id="rId247" Type="http://schemas.openxmlformats.org/officeDocument/2006/relationships/hyperlink" Target="2020\20-010" TargetMode="External"/><Relationship Id="rId899" Type="http://schemas.openxmlformats.org/officeDocument/2006/relationships/hyperlink" Target="file:///\\stratfs1.clemmertech.net\public\QCI%20Division\Quality%20Documentation-QCI\Alert%20System\Alerts\2025\25-047" TargetMode="External"/><Relationship Id="rId1000" Type="http://schemas.openxmlformats.org/officeDocument/2006/relationships/hyperlink" Target="file:///\\stratfs1.clemmertech.net\public\QCI%20Division\Quality%20Documentation-QCI\Alert%20System\Alerts\2025\25-163" TargetMode="External"/><Relationship Id="rId107" Type="http://schemas.openxmlformats.org/officeDocument/2006/relationships/hyperlink" Target="../../../ccharlebois/AppData/Roaming/Microsoft/Excel/2019/19-018/19-018.doc" TargetMode="External"/><Relationship Id="rId454" Type="http://schemas.openxmlformats.org/officeDocument/2006/relationships/hyperlink" Target="2022\22-017" TargetMode="External"/><Relationship Id="rId661" Type="http://schemas.openxmlformats.org/officeDocument/2006/relationships/hyperlink" Target="2023\23-095" TargetMode="External"/><Relationship Id="rId759" Type="http://schemas.openxmlformats.org/officeDocument/2006/relationships/hyperlink" Target="2024\24-068" TargetMode="External"/><Relationship Id="rId966" Type="http://schemas.openxmlformats.org/officeDocument/2006/relationships/hyperlink" Target="file:///\\stratfs1\public\QCI%20Division\Quality%20Documentation-QCI\Alert%20System\Alerts\2025\25-119" TargetMode="External"/><Relationship Id="rId11" Type="http://schemas.openxmlformats.org/officeDocument/2006/relationships/hyperlink" Target="../../../ccharlebois/AppData/Roaming/Microsoft/Excel/2017/17-010" TargetMode="External"/><Relationship Id="rId314" Type="http://schemas.openxmlformats.org/officeDocument/2006/relationships/hyperlink" Target="2020\20-073" TargetMode="External"/><Relationship Id="rId398" Type="http://schemas.openxmlformats.org/officeDocument/2006/relationships/hyperlink" Target="2021\21-159" TargetMode="External"/><Relationship Id="rId521" Type="http://schemas.openxmlformats.org/officeDocument/2006/relationships/hyperlink" Target="2022\22-083" TargetMode="External"/><Relationship Id="rId619" Type="http://schemas.openxmlformats.org/officeDocument/2006/relationships/hyperlink" Target="2023\23-052" TargetMode="External"/><Relationship Id="rId95" Type="http://schemas.openxmlformats.org/officeDocument/2006/relationships/hyperlink" Target="../../../ccharlebois/AppData/Roaming/Microsoft/Excel/2019" TargetMode="External"/><Relationship Id="rId160" Type="http://schemas.openxmlformats.org/officeDocument/2006/relationships/hyperlink" Target="../../../ccharlebois/AppData/Roaming/Microsoft/Excel/2019/19-073" TargetMode="External"/><Relationship Id="rId826" Type="http://schemas.openxmlformats.org/officeDocument/2006/relationships/hyperlink" Target="file:///\\stratfs1.clemmertech.net\public\QCI%20Division\Quality%20Documentation-QCI\Alert%20System\Alerts\2024\24-148" TargetMode="External"/><Relationship Id="rId1011" Type="http://schemas.openxmlformats.org/officeDocument/2006/relationships/hyperlink" Target="file:///\\stratfs1.clemmertech.net\public\QCI%20Division\Quality%20Documentation-QCI\Alert%20System\Alerts\2025\25-167" TargetMode="External"/><Relationship Id="rId258" Type="http://schemas.openxmlformats.org/officeDocument/2006/relationships/hyperlink" Target="2020\20-022" TargetMode="External"/><Relationship Id="rId465" Type="http://schemas.openxmlformats.org/officeDocument/2006/relationships/hyperlink" Target="2022\22-028" TargetMode="External"/><Relationship Id="rId672" Type="http://schemas.openxmlformats.org/officeDocument/2006/relationships/hyperlink" Target="2023\23-104" TargetMode="External"/><Relationship Id="rId22" Type="http://schemas.openxmlformats.org/officeDocument/2006/relationships/hyperlink" Target="../../../ccharlebois/AppData/Roaming/Microsoft/Excel/2017/17-020" TargetMode="External"/><Relationship Id="rId118" Type="http://schemas.openxmlformats.org/officeDocument/2006/relationships/hyperlink" Target="../../../ccharlebois/AppData/Roaming/Microsoft/Excel/2019/19-028" TargetMode="External"/><Relationship Id="rId325" Type="http://schemas.openxmlformats.org/officeDocument/2006/relationships/hyperlink" Target="2020\20-085" TargetMode="External"/><Relationship Id="rId532" Type="http://schemas.openxmlformats.org/officeDocument/2006/relationships/hyperlink" Target="2022\22-094" TargetMode="External"/><Relationship Id="rId977" Type="http://schemas.openxmlformats.org/officeDocument/2006/relationships/hyperlink" Target="file:///\\stratfs1\public\QCI%20Division\Quality%20Documentation-QCI\Alert%20System\Alerts\2025\25-133" TargetMode="External"/><Relationship Id="rId171" Type="http://schemas.openxmlformats.org/officeDocument/2006/relationships/hyperlink" Target="../../../ccharlebois/AppData/Roaming/Microsoft/Excel/2019/19-084" TargetMode="External"/><Relationship Id="rId837" Type="http://schemas.openxmlformats.org/officeDocument/2006/relationships/hyperlink" Target="file:///\\stratfs1.clemmertech.net\public\QCI%20Division\Quality%20Documentation-QCI\Alert%20System\Alerts\2024\24-160" TargetMode="External"/><Relationship Id="rId269" Type="http://schemas.openxmlformats.org/officeDocument/2006/relationships/hyperlink" Target="2020\20-023" TargetMode="External"/><Relationship Id="rId476" Type="http://schemas.openxmlformats.org/officeDocument/2006/relationships/hyperlink" Target="2022\22-039" TargetMode="External"/><Relationship Id="rId683" Type="http://schemas.openxmlformats.org/officeDocument/2006/relationships/hyperlink" Target="2023\23-115\QA-115.doc" TargetMode="External"/><Relationship Id="rId890" Type="http://schemas.openxmlformats.org/officeDocument/2006/relationships/hyperlink" Target="file:///\\stratfs1.clemmertech.net\public\QCI%20Division\Quality%20Documentation-QCI\Alert%20System\Alerts\2025\25-036" TargetMode="External"/><Relationship Id="rId904" Type="http://schemas.openxmlformats.org/officeDocument/2006/relationships/hyperlink" Target="file:///\\stratfs1.clemmertech.net\public\QCI%20Division\Quality%20Documentation-QCI\Alert%20System\Alerts\2025\25-052" TargetMode="External"/><Relationship Id="rId33" Type="http://schemas.openxmlformats.org/officeDocument/2006/relationships/hyperlink" Target="../../../ccharlebois/AppData/Roaming/Microsoft/Excel/2017/17-035.doc" TargetMode="External"/><Relationship Id="rId129" Type="http://schemas.openxmlformats.org/officeDocument/2006/relationships/hyperlink" Target="../../../ccharlebois/AppData/Roaming/Microsoft/Excel/2019/19-041" TargetMode="External"/><Relationship Id="rId336" Type="http://schemas.openxmlformats.org/officeDocument/2006/relationships/hyperlink" Target="2020\20-097" TargetMode="External"/><Relationship Id="rId543" Type="http://schemas.openxmlformats.org/officeDocument/2006/relationships/hyperlink" Target="2022\22-106" TargetMode="External"/><Relationship Id="rId988" Type="http://schemas.openxmlformats.org/officeDocument/2006/relationships/hyperlink" Target="file:///\\stratfs1\public\QCI%20Division\Quality%20Documentation-QCI\Alert%20System\Alerts\2025\25-130" TargetMode="External"/><Relationship Id="rId182" Type="http://schemas.openxmlformats.org/officeDocument/2006/relationships/hyperlink" Target="../../../ccharlebois/AppData/Roaming/Microsoft/Excel/2019/19-095" TargetMode="External"/><Relationship Id="rId403" Type="http://schemas.openxmlformats.org/officeDocument/2006/relationships/hyperlink" Target="2021\21-168" TargetMode="External"/><Relationship Id="rId750" Type="http://schemas.openxmlformats.org/officeDocument/2006/relationships/hyperlink" Target="2024\24-061" TargetMode="External"/><Relationship Id="rId848" Type="http://schemas.openxmlformats.org/officeDocument/2006/relationships/hyperlink" Target="file:///\\stratfs1\public\QCI%20Division\Quality%20Documentation-QCI\Alert%20System\Alerts\2024\24-161" TargetMode="External"/><Relationship Id="rId487" Type="http://schemas.openxmlformats.org/officeDocument/2006/relationships/hyperlink" Target="2022\22-051" TargetMode="External"/><Relationship Id="rId610" Type="http://schemas.openxmlformats.org/officeDocument/2006/relationships/hyperlink" Target="2023\23-043" TargetMode="External"/><Relationship Id="rId694" Type="http://schemas.openxmlformats.org/officeDocument/2006/relationships/hyperlink" Target="2024\24-003\QA%2024-003.doc" TargetMode="External"/><Relationship Id="rId708" Type="http://schemas.openxmlformats.org/officeDocument/2006/relationships/hyperlink" Target="2024\24-017" TargetMode="External"/><Relationship Id="rId915" Type="http://schemas.openxmlformats.org/officeDocument/2006/relationships/hyperlink" Target="file:///\\stratfs1.clemmertech.net\public\QCI%20Division\Quality%20Documentation-QCI\Alert%20System\Alerts\2025\25-063" TargetMode="External"/><Relationship Id="rId347" Type="http://schemas.openxmlformats.org/officeDocument/2006/relationships/hyperlink" Target="2020\20-110" TargetMode="External"/><Relationship Id="rId999" Type="http://schemas.openxmlformats.org/officeDocument/2006/relationships/hyperlink" Target="file:///\\stratfs1.clemmertech.net\public\QCI%20Division\Quality%20Documentation-QCI\Alert%20System\Alerts\2025\25-162" TargetMode="External"/><Relationship Id="rId44" Type="http://schemas.openxmlformats.org/officeDocument/2006/relationships/hyperlink" Target="../../../ccharlebois/AppData/Roaming/Microsoft/Excel/2018/18-001" TargetMode="External"/><Relationship Id="rId554" Type="http://schemas.openxmlformats.org/officeDocument/2006/relationships/hyperlink" Target="2022\22-117" TargetMode="External"/><Relationship Id="rId761" Type="http://schemas.openxmlformats.org/officeDocument/2006/relationships/hyperlink" Target="2024\24-071" TargetMode="External"/><Relationship Id="rId859" Type="http://schemas.openxmlformats.org/officeDocument/2006/relationships/hyperlink" Target="file:///\\stratfs1.clemmertech.net\public\QCI%20Division\Quality%20Documentation-QCI\Alert%20System\Alerts\2025\25-001" TargetMode="External"/><Relationship Id="rId193" Type="http://schemas.openxmlformats.org/officeDocument/2006/relationships/hyperlink" Target="../../../ccharlebois/AppData/Roaming/Microsoft/Excel/2019/19-107" TargetMode="External"/><Relationship Id="rId207" Type="http://schemas.openxmlformats.org/officeDocument/2006/relationships/hyperlink" Target="../../../ccharlebois/AppData/Roaming/Microsoft/Excel/2019/19-121" TargetMode="External"/><Relationship Id="rId414" Type="http://schemas.openxmlformats.org/officeDocument/2006/relationships/hyperlink" Target="2021\21-284" TargetMode="External"/><Relationship Id="rId498" Type="http://schemas.openxmlformats.org/officeDocument/2006/relationships/hyperlink" Target="2022\22-061" TargetMode="External"/><Relationship Id="rId621" Type="http://schemas.openxmlformats.org/officeDocument/2006/relationships/hyperlink" Target="2023\23-054" TargetMode="External"/><Relationship Id="rId260" Type="http://schemas.openxmlformats.org/officeDocument/2006/relationships/hyperlink" Target="2020\20-032" TargetMode="External"/><Relationship Id="rId719" Type="http://schemas.openxmlformats.org/officeDocument/2006/relationships/hyperlink" Target="2024\24-029" TargetMode="External"/><Relationship Id="rId926" Type="http://schemas.openxmlformats.org/officeDocument/2006/relationships/hyperlink" Target="file:///\\stratfs1.clemmertech.net\public\QCI%20Division\Quality%20Documentation-QCI\Alert%20System\Alerts\2025\25-075" TargetMode="External"/><Relationship Id="rId55" Type="http://schemas.openxmlformats.org/officeDocument/2006/relationships/hyperlink" Target="../../../ccharlebois/AppData/Roaming/Microsoft/Excel/2018/18-013.doc" TargetMode="External"/><Relationship Id="rId120" Type="http://schemas.openxmlformats.org/officeDocument/2006/relationships/hyperlink" Target="../../../ccharlebois/AppData/Roaming/Microsoft/Excel/2019/19-030" TargetMode="External"/><Relationship Id="rId358" Type="http://schemas.openxmlformats.org/officeDocument/2006/relationships/hyperlink" Target="2020" TargetMode="External"/><Relationship Id="rId565" Type="http://schemas.openxmlformats.org/officeDocument/2006/relationships/hyperlink" Target="2022\22-128" TargetMode="External"/><Relationship Id="rId772" Type="http://schemas.openxmlformats.org/officeDocument/2006/relationships/hyperlink" Target="2024\24-082" TargetMode="External"/><Relationship Id="rId218" Type="http://schemas.openxmlformats.org/officeDocument/2006/relationships/hyperlink" Target="../../../ccharlebois/AppData/Roaming/Microsoft/Excel/2019/19-132" TargetMode="External"/><Relationship Id="rId425" Type="http://schemas.openxmlformats.org/officeDocument/2006/relationships/hyperlink" Target="2021\21-197" TargetMode="External"/><Relationship Id="rId632" Type="http://schemas.openxmlformats.org/officeDocument/2006/relationships/hyperlink" Target="2023/23-064" TargetMode="External"/><Relationship Id="rId271" Type="http://schemas.openxmlformats.org/officeDocument/2006/relationships/hyperlink" Target="2020\20-027" TargetMode="External"/><Relationship Id="rId937" Type="http://schemas.openxmlformats.org/officeDocument/2006/relationships/hyperlink" Target="file:///\\stratfs1.clemmertech.net\public\QCI%20Division\Quality%20Documentation-QCI\Alert%20System\Alerts\2025\25-085" TargetMode="External"/><Relationship Id="rId66" Type="http://schemas.openxmlformats.org/officeDocument/2006/relationships/hyperlink" Target="../../../ccharlebois/AppData/Roaming/Microsoft/Excel/2018/18-024" TargetMode="External"/><Relationship Id="rId131" Type="http://schemas.openxmlformats.org/officeDocument/2006/relationships/hyperlink" Target="../../../ccharlebois/AppData/Roaming/Microsoft/Excel/2019/19-043" TargetMode="External"/><Relationship Id="rId369" Type="http://schemas.openxmlformats.org/officeDocument/2006/relationships/hyperlink" Target="2020" TargetMode="External"/><Relationship Id="rId576" Type="http://schemas.openxmlformats.org/officeDocument/2006/relationships/hyperlink" Target="2023\23-006" TargetMode="External"/><Relationship Id="rId783" Type="http://schemas.openxmlformats.org/officeDocument/2006/relationships/hyperlink" Target="2024\24-094" TargetMode="External"/><Relationship Id="rId990" Type="http://schemas.openxmlformats.org/officeDocument/2006/relationships/hyperlink" Target="file:///\\stratfs1\public\QCI%20Division\Quality%20Documentation-QCI\Alert%20System\Alerts\2025\25-145" TargetMode="External"/><Relationship Id="rId229" Type="http://schemas.openxmlformats.org/officeDocument/2006/relationships/hyperlink" Target="../../../ccharlebois/AppData/Roaming/Microsoft/Excel/2019/19-119" TargetMode="External"/><Relationship Id="rId436" Type="http://schemas.openxmlformats.org/officeDocument/2006/relationships/hyperlink" Target="2022\22-004\22-004%20Alert.doc" TargetMode="External"/><Relationship Id="rId643" Type="http://schemas.openxmlformats.org/officeDocument/2006/relationships/hyperlink" Target="2023\23-075" TargetMode="External"/><Relationship Id="rId850" Type="http://schemas.openxmlformats.org/officeDocument/2006/relationships/hyperlink" Target="file:///\\stratfs1.clemmertech.net\public\QCI%20Division\Quality%20Documentation-QCI\Alert%20System\Alerts\2024\24-174" TargetMode="External"/><Relationship Id="rId948" Type="http://schemas.openxmlformats.org/officeDocument/2006/relationships/hyperlink" Target="file:///\\stratfs1.clemmertech.net\public\QCI%20Division\Quality%20Documentation-QCI\Alert%20System\Alerts\2025\25-096" TargetMode="External"/><Relationship Id="rId77" Type="http://schemas.openxmlformats.org/officeDocument/2006/relationships/hyperlink" Target="../../../ccharlebois/AppData/Roaming/Microsoft/Excel/2018/18-036" TargetMode="External"/><Relationship Id="rId282" Type="http://schemas.openxmlformats.org/officeDocument/2006/relationships/hyperlink" Target="2020\20-044" TargetMode="External"/><Relationship Id="rId503" Type="http://schemas.openxmlformats.org/officeDocument/2006/relationships/hyperlink" Target="2022\22-066" TargetMode="External"/><Relationship Id="rId587" Type="http://schemas.openxmlformats.org/officeDocument/2006/relationships/hyperlink" Target="2023\23-017" TargetMode="External"/><Relationship Id="rId710" Type="http://schemas.openxmlformats.org/officeDocument/2006/relationships/hyperlink" Target="2024\24-020" TargetMode="External"/><Relationship Id="rId808" Type="http://schemas.openxmlformats.org/officeDocument/2006/relationships/hyperlink" Target="file:///\\stratfs1.clemmertech.net\public\QCI%20Division\Quality%20Documentation-QCI\Alert%20System\Alerts\2024\24-122" TargetMode="External"/><Relationship Id="rId8" Type="http://schemas.openxmlformats.org/officeDocument/2006/relationships/hyperlink" Target="../../../ccharlebois/AppData/Roaming/Microsoft/Excel/2017/17-007" TargetMode="External"/><Relationship Id="rId142" Type="http://schemas.openxmlformats.org/officeDocument/2006/relationships/hyperlink" Target="../../../ccharlebois/AppData/Roaming/Microsoft/Excel/2019/19-053" TargetMode="External"/><Relationship Id="rId447" Type="http://schemas.openxmlformats.org/officeDocument/2006/relationships/hyperlink" Target="2022\22-013" TargetMode="External"/><Relationship Id="rId794" Type="http://schemas.openxmlformats.org/officeDocument/2006/relationships/hyperlink" Target="file:///\\stratfs1\public\QCI%20Division\Quality%20Documentation-QCI\Alert%20System\Alerts\2024\24-111" TargetMode="External"/><Relationship Id="rId654" Type="http://schemas.openxmlformats.org/officeDocument/2006/relationships/hyperlink" Target="2023\23-085" TargetMode="External"/><Relationship Id="rId861" Type="http://schemas.openxmlformats.org/officeDocument/2006/relationships/hyperlink" Target="file:///\\stratfs1.clemmertech.net\public\QCI%20Division\Quality%20Documentation-QCI\Alert%20System\Alerts\2025\25-005" TargetMode="External"/><Relationship Id="rId959" Type="http://schemas.openxmlformats.org/officeDocument/2006/relationships/hyperlink" Target="file:///\\stratfs1.clemmertech.net\public\QCI%20Division\Quality%20Documentation-QCI\Alert%20System\Alerts\2025\25-110" TargetMode="External"/><Relationship Id="rId293" Type="http://schemas.openxmlformats.org/officeDocument/2006/relationships/hyperlink" Target="2020\20-050" TargetMode="External"/><Relationship Id="rId307" Type="http://schemas.openxmlformats.org/officeDocument/2006/relationships/hyperlink" Target="2020\20-067" TargetMode="External"/><Relationship Id="rId514" Type="http://schemas.openxmlformats.org/officeDocument/2006/relationships/hyperlink" Target="2022\22-077" TargetMode="External"/><Relationship Id="rId721" Type="http://schemas.openxmlformats.org/officeDocument/2006/relationships/hyperlink" Target="2024\24-030" TargetMode="External"/><Relationship Id="rId88" Type="http://schemas.openxmlformats.org/officeDocument/2006/relationships/hyperlink" Target="../../../ccharlebois/AppData/Roaming/Microsoft/Excel/2019/19-046.doc" TargetMode="External"/><Relationship Id="rId153" Type="http://schemas.openxmlformats.org/officeDocument/2006/relationships/hyperlink" Target="../../../ccharlebois/AppData/Roaming/Microsoft/Excel/2019/19-065" TargetMode="External"/><Relationship Id="rId360" Type="http://schemas.openxmlformats.org/officeDocument/2006/relationships/hyperlink" Target="2020" TargetMode="External"/><Relationship Id="rId598" Type="http://schemas.openxmlformats.org/officeDocument/2006/relationships/hyperlink" Target="2023\23-029" TargetMode="External"/><Relationship Id="rId819" Type="http://schemas.openxmlformats.org/officeDocument/2006/relationships/hyperlink" Target="file:///\\stratfs1.clemmertech.net\public\QCI%20Division\Quality%20Documentation-QCI\Alert%20System\Alerts\2024\24-139" TargetMode="External"/><Relationship Id="rId1004" Type="http://schemas.openxmlformats.org/officeDocument/2006/relationships/hyperlink" Target="file:///\\stratfs1.clemmertech.net\public\QCI%20Division\Quality%20Documentation-QCI\Alert%20System\Alerts\2025\25-169" TargetMode="External"/><Relationship Id="rId220" Type="http://schemas.openxmlformats.org/officeDocument/2006/relationships/hyperlink" Target="../../../ccharlebois/AppData/Roaming/Microsoft/Excel/2019/19-134" TargetMode="External"/><Relationship Id="rId458" Type="http://schemas.openxmlformats.org/officeDocument/2006/relationships/hyperlink" Target="2022\22-021" TargetMode="External"/><Relationship Id="rId665" Type="http://schemas.openxmlformats.org/officeDocument/2006/relationships/hyperlink" Target="2023\23-097" TargetMode="External"/><Relationship Id="rId872" Type="http://schemas.openxmlformats.org/officeDocument/2006/relationships/hyperlink" Target="file:///\\stratfs1.clemmertech.net\public\QCI%20Division\Quality%20Documentation-QCI\Alert%20System\Alerts\2025\25-016" TargetMode="External"/><Relationship Id="rId15" Type="http://schemas.openxmlformats.org/officeDocument/2006/relationships/hyperlink" Target="../../../ccharlebois/AppData/Roaming/Microsoft/Excel/2017/17-014" TargetMode="External"/><Relationship Id="rId318" Type="http://schemas.openxmlformats.org/officeDocument/2006/relationships/hyperlink" Target="2020\20-079" TargetMode="External"/><Relationship Id="rId525" Type="http://schemas.openxmlformats.org/officeDocument/2006/relationships/hyperlink" Target="2022\22-088" TargetMode="External"/><Relationship Id="rId732" Type="http://schemas.openxmlformats.org/officeDocument/2006/relationships/hyperlink" Target="2024/24-042" TargetMode="External"/><Relationship Id="rId99" Type="http://schemas.openxmlformats.org/officeDocument/2006/relationships/hyperlink" Target="../../../ccharlebois/AppData/Roaming/Microsoft/Excel/2019" TargetMode="External"/><Relationship Id="rId164" Type="http://schemas.openxmlformats.org/officeDocument/2006/relationships/hyperlink" Target="../../../ccharlebois/AppData/Roaming/Microsoft/Excel/2019/19-078" TargetMode="External"/><Relationship Id="rId371" Type="http://schemas.openxmlformats.org/officeDocument/2006/relationships/hyperlink" Target="2020\20-132\20-132.doc" TargetMode="External"/><Relationship Id="rId1015" Type="http://schemas.openxmlformats.org/officeDocument/2006/relationships/vmlDrawing" Target="../drawings/vmlDrawing1.vml"/><Relationship Id="rId469" Type="http://schemas.openxmlformats.org/officeDocument/2006/relationships/hyperlink" Target="2022\22-032" TargetMode="External"/><Relationship Id="rId676" Type="http://schemas.openxmlformats.org/officeDocument/2006/relationships/hyperlink" Target="2023\23-108" TargetMode="External"/><Relationship Id="rId883" Type="http://schemas.openxmlformats.org/officeDocument/2006/relationships/hyperlink" Target="file:///\\stratfs1.clemmertech.net\public\QCI%20Division\Quality%20Documentation-QCI\Alert%20System\Alerts\2025\25-028" TargetMode="External"/><Relationship Id="rId26" Type="http://schemas.openxmlformats.org/officeDocument/2006/relationships/hyperlink" Target="../../../ccharlebois/AppData/Roaming/Microsoft/Excel/2017/17-027" TargetMode="External"/><Relationship Id="rId231" Type="http://schemas.openxmlformats.org/officeDocument/2006/relationships/hyperlink" Target="../../../ccharlebois/AppData/Roaming/Microsoft/Excel/2019/19-143" TargetMode="External"/><Relationship Id="rId329" Type="http://schemas.openxmlformats.org/officeDocument/2006/relationships/hyperlink" Target="2020\20-080" TargetMode="External"/><Relationship Id="rId536" Type="http://schemas.openxmlformats.org/officeDocument/2006/relationships/hyperlink" Target="2022\22-099" TargetMode="External"/><Relationship Id="rId175" Type="http://schemas.openxmlformats.org/officeDocument/2006/relationships/hyperlink" Target="../../../ccharlebois/AppData/Roaming/Microsoft/Excel/2019/19-088" TargetMode="External"/><Relationship Id="rId743" Type="http://schemas.openxmlformats.org/officeDocument/2006/relationships/hyperlink" Target="2024\24-054" TargetMode="External"/><Relationship Id="rId950" Type="http://schemas.openxmlformats.org/officeDocument/2006/relationships/hyperlink" Target="file:///\\stratfs1.clemmertech.net\public\QCI%20Division\Quality%20Documentation-QCI\Alert%20System\Alerts\2025\25-100" TargetMode="External"/><Relationship Id="rId382" Type="http://schemas.openxmlformats.org/officeDocument/2006/relationships/hyperlink" Target="2021\20-143" TargetMode="External"/><Relationship Id="rId603" Type="http://schemas.openxmlformats.org/officeDocument/2006/relationships/hyperlink" Target="2023\23-035" TargetMode="External"/><Relationship Id="rId687" Type="http://schemas.openxmlformats.org/officeDocument/2006/relationships/hyperlink" Target="2023/23-121" TargetMode="External"/><Relationship Id="rId810" Type="http://schemas.openxmlformats.org/officeDocument/2006/relationships/hyperlink" Target="file:///\\stratfs1.clemmertech.net\public\QCI%20Division\Quality%20Documentation-QCI\Alert%20System\Alerts\2024\24-127" TargetMode="External"/><Relationship Id="rId908" Type="http://schemas.openxmlformats.org/officeDocument/2006/relationships/hyperlink" Target="file:///\\stratfs1.clemmertech.net\public\QCI%20Division\Quality%20Documentation-QCI\Alert%20System\Alerts\2025\25-056" TargetMode="External"/><Relationship Id="rId242" Type="http://schemas.openxmlformats.org/officeDocument/2006/relationships/hyperlink" Target="2020\20-005" TargetMode="External"/><Relationship Id="rId894" Type="http://schemas.openxmlformats.org/officeDocument/2006/relationships/hyperlink" Target="file:///\\stratfs1.clemmertech.net\public\QCI%20Division\Quality%20Documentation-QCI\Alert%20System\Alerts\2025\25-040" TargetMode="External"/><Relationship Id="rId37" Type="http://schemas.openxmlformats.org/officeDocument/2006/relationships/hyperlink" Target="../../../ccharlebois/AppData/Roaming/Microsoft/Excel/2017/17-041" TargetMode="External"/><Relationship Id="rId102" Type="http://schemas.openxmlformats.org/officeDocument/2006/relationships/hyperlink" Target="../../../ccharlebois/AppData/Roaming/Microsoft/Excel/2019/19-013" TargetMode="External"/><Relationship Id="rId547" Type="http://schemas.openxmlformats.org/officeDocument/2006/relationships/hyperlink" Target="2022\22-110" TargetMode="External"/><Relationship Id="rId754" Type="http://schemas.openxmlformats.org/officeDocument/2006/relationships/hyperlink" Target="2024\24-064" TargetMode="External"/><Relationship Id="rId961" Type="http://schemas.openxmlformats.org/officeDocument/2006/relationships/hyperlink" Target="file:///\\stratfs1.clemmertech.net\public\QCI%20Division\Quality%20Documentation-QCI\Alert%20System\Alerts\2025\25-112" TargetMode="External"/><Relationship Id="rId90" Type="http://schemas.openxmlformats.org/officeDocument/2006/relationships/hyperlink" Target="../../../ccharlebois/AppData/Roaming/Microsoft/Excel/2019/19-048.doc" TargetMode="External"/><Relationship Id="rId186" Type="http://schemas.openxmlformats.org/officeDocument/2006/relationships/hyperlink" Target="../../../ccharlebois/AppData/Roaming/Microsoft/Excel/2019/19-101" TargetMode="External"/><Relationship Id="rId393" Type="http://schemas.openxmlformats.org/officeDocument/2006/relationships/hyperlink" Target="2021\21-154" TargetMode="External"/><Relationship Id="rId407" Type="http://schemas.openxmlformats.org/officeDocument/2006/relationships/hyperlink" Target="2021\21-175" TargetMode="External"/><Relationship Id="rId614" Type="http://schemas.openxmlformats.org/officeDocument/2006/relationships/hyperlink" Target="2023\23-046" TargetMode="External"/><Relationship Id="rId821" Type="http://schemas.openxmlformats.org/officeDocument/2006/relationships/hyperlink" Target="file:///\\stratfs1.clemmertech.net\public\QCI%20Division\Quality%20Documentation-QCI\Alert%20System\Alerts\2024\24-142" TargetMode="External"/><Relationship Id="rId253" Type="http://schemas.openxmlformats.org/officeDocument/2006/relationships/hyperlink" Target="2020\20-016" TargetMode="External"/><Relationship Id="rId460" Type="http://schemas.openxmlformats.org/officeDocument/2006/relationships/hyperlink" Target="2022\22-023" TargetMode="External"/><Relationship Id="rId698" Type="http://schemas.openxmlformats.org/officeDocument/2006/relationships/hyperlink" Target="2024\24-007" TargetMode="External"/><Relationship Id="rId919" Type="http://schemas.openxmlformats.org/officeDocument/2006/relationships/hyperlink" Target="file:///\\stratfs1.clemmertech.net\public\QCI%20Division\Quality%20Documentation-QCI\Alert%20System\Alerts\2025\25-067" TargetMode="External"/><Relationship Id="rId48" Type="http://schemas.openxmlformats.org/officeDocument/2006/relationships/hyperlink" Target="../../../ccharlebois/AppData/Roaming/Microsoft/Excel/2018/18-006.doc" TargetMode="External"/><Relationship Id="rId113" Type="http://schemas.openxmlformats.org/officeDocument/2006/relationships/hyperlink" Target="../../../ccharlebois/AppData/Roaming/Microsoft/Excel/2019/19-003" TargetMode="External"/><Relationship Id="rId320" Type="http://schemas.openxmlformats.org/officeDocument/2006/relationships/hyperlink" Target="2020\20-081" TargetMode="External"/><Relationship Id="rId558" Type="http://schemas.openxmlformats.org/officeDocument/2006/relationships/hyperlink" Target="2022\22-121" TargetMode="External"/><Relationship Id="rId765" Type="http://schemas.openxmlformats.org/officeDocument/2006/relationships/hyperlink" Target="2024\24-075" TargetMode="External"/><Relationship Id="rId972" Type="http://schemas.openxmlformats.org/officeDocument/2006/relationships/hyperlink" Target="file:///\\stratfs1\public\QCI%20Division\Quality%20Documentation-QCI\Alert%20System\Alerts\2025\25-126" TargetMode="External"/><Relationship Id="rId197" Type="http://schemas.openxmlformats.org/officeDocument/2006/relationships/hyperlink" Target="../../../ccharlebois/AppData/Roaming/Microsoft/Excel/2019/19-110" TargetMode="External"/><Relationship Id="rId418" Type="http://schemas.openxmlformats.org/officeDocument/2006/relationships/hyperlink" Target="2021\21-188" TargetMode="External"/><Relationship Id="rId625" Type="http://schemas.openxmlformats.org/officeDocument/2006/relationships/hyperlink" Target="2023\23-057" TargetMode="External"/><Relationship Id="rId832" Type="http://schemas.openxmlformats.org/officeDocument/2006/relationships/hyperlink" Target="file:///\\stratfs1.clemmertech.net\public\QCI%20Division\Quality%20Documentation-QCI\Alert%20System\Alerts\2024\24-128" TargetMode="External"/><Relationship Id="rId264" Type="http://schemas.openxmlformats.org/officeDocument/2006/relationships/hyperlink" Target="2020\20-030" TargetMode="External"/><Relationship Id="rId471" Type="http://schemas.openxmlformats.org/officeDocument/2006/relationships/hyperlink" Target="2022\22-034" TargetMode="External"/><Relationship Id="rId59" Type="http://schemas.openxmlformats.org/officeDocument/2006/relationships/hyperlink" Target="../../../ccharlebois/AppData/Roaming/Microsoft/Excel/2018/18-017.doc" TargetMode="External"/><Relationship Id="rId124" Type="http://schemas.openxmlformats.org/officeDocument/2006/relationships/hyperlink" Target="../../../ccharlebois/AppData/Roaming/Microsoft/Excel/2019/19-035" TargetMode="External"/><Relationship Id="rId569" Type="http://schemas.openxmlformats.org/officeDocument/2006/relationships/hyperlink" Target="2022\22-132" TargetMode="External"/><Relationship Id="rId776" Type="http://schemas.openxmlformats.org/officeDocument/2006/relationships/hyperlink" Target="2024/24-086" TargetMode="External"/><Relationship Id="rId983" Type="http://schemas.openxmlformats.org/officeDocument/2006/relationships/hyperlink" Target="file:///\\stratfs1\public\QCI%20Division\Quality%20Documentation-QCI\Alert%20System\Alerts\2025\25-140" TargetMode="External"/><Relationship Id="rId331" Type="http://schemas.openxmlformats.org/officeDocument/2006/relationships/hyperlink" Target="2020\20-090" TargetMode="External"/><Relationship Id="rId429" Type="http://schemas.openxmlformats.org/officeDocument/2006/relationships/hyperlink" Target="2021\21-203" TargetMode="External"/><Relationship Id="rId636" Type="http://schemas.openxmlformats.org/officeDocument/2006/relationships/hyperlink" Target="2023\23-066" TargetMode="External"/><Relationship Id="rId843" Type="http://schemas.openxmlformats.org/officeDocument/2006/relationships/hyperlink" Target="file:///\\stratfs1.clemmertech.net\public\QCI%20Division\Quality%20Documentation-QCI\Alert%20System\Alerts\2024\24-168" TargetMode="External"/><Relationship Id="rId275" Type="http://schemas.openxmlformats.org/officeDocument/2006/relationships/hyperlink" Target="2020\20-037" TargetMode="External"/><Relationship Id="rId482" Type="http://schemas.openxmlformats.org/officeDocument/2006/relationships/hyperlink" Target="2022\22-045" TargetMode="External"/><Relationship Id="rId703" Type="http://schemas.openxmlformats.org/officeDocument/2006/relationships/hyperlink" Target="2024\24-012" TargetMode="External"/><Relationship Id="rId910" Type="http://schemas.openxmlformats.org/officeDocument/2006/relationships/hyperlink" Target="file:///\\stratfs1.clemmertech.net\public\QCI%20Division\Quality%20Documentation-QCI\Alert%20System\Alerts\2025\25-058" TargetMode="External"/><Relationship Id="rId135" Type="http://schemas.openxmlformats.org/officeDocument/2006/relationships/hyperlink" Target="../../../ccharlebois/AppData/Roaming/Microsoft/Excel/2019/19-040" TargetMode="External"/><Relationship Id="rId342" Type="http://schemas.openxmlformats.org/officeDocument/2006/relationships/hyperlink" Target="2020\20-104" TargetMode="External"/><Relationship Id="rId787" Type="http://schemas.openxmlformats.org/officeDocument/2006/relationships/hyperlink" Target="2024/24-098" TargetMode="External"/><Relationship Id="rId994" Type="http://schemas.openxmlformats.org/officeDocument/2006/relationships/hyperlink" Target="file:///\\stratfs1\public\QCI%20Division\Quality%20Documentation-QCI\Alert%20System\Alerts\2025\25-151" TargetMode="External"/><Relationship Id="rId202" Type="http://schemas.openxmlformats.org/officeDocument/2006/relationships/hyperlink" Target="../../../ccharlebois/AppData/Roaming/Microsoft/Excel/2019/19-115" TargetMode="External"/><Relationship Id="rId647" Type="http://schemas.openxmlformats.org/officeDocument/2006/relationships/hyperlink" Target="2023\23-079" TargetMode="External"/><Relationship Id="rId854" Type="http://schemas.openxmlformats.org/officeDocument/2006/relationships/hyperlink" Target="file:///\\stratfs1.clemmertech.net\public\QCI%20Division\Quality%20Documentation-QCI\Alert%20System\Alerts\2024\24-178" TargetMode="External"/><Relationship Id="rId286" Type="http://schemas.openxmlformats.org/officeDocument/2006/relationships/hyperlink" Target="2020\20-048" TargetMode="External"/><Relationship Id="rId493" Type="http://schemas.openxmlformats.org/officeDocument/2006/relationships/hyperlink" Target="2022\22-057" TargetMode="External"/><Relationship Id="rId507" Type="http://schemas.openxmlformats.org/officeDocument/2006/relationships/hyperlink" Target="2022\22-070" TargetMode="External"/><Relationship Id="rId714" Type="http://schemas.openxmlformats.org/officeDocument/2006/relationships/hyperlink" Target="2024\24-024" TargetMode="External"/><Relationship Id="rId921" Type="http://schemas.openxmlformats.org/officeDocument/2006/relationships/hyperlink" Target="file:///\\stratfs1.clemmertech.net\public\QCI%20Division\Quality%20Documentation-QCI\Alert%20System\Alerts\2025\25-069" TargetMode="External"/><Relationship Id="rId50" Type="http://schemas.openxmlformats.org/officeDocument/2006/relationships/hyperlink" Target="../../../ccharlebois/AppData/Roaming/Microsoft/Excel/2018/18-008.doc" TargetMode="External"/><Relationship Id="rId146" Type="http://schemas.openxmlformats.org/officeDocument/2006/relationships/hyperlink" Target="../../../ccharlebois/AppData/Roaming/Microsoft/Excel/2019/19-058" TargetMode="External"/><Relationship Id="rId353" Type="http://schemas.openxmlformats.org/officeDocument/2006/relationships/hyperlink" Target="2020\20-119" TargetMode="External"/><Relationship Id="rId560" Type="http://schemas.openxmlformats.org/officeDocument/2006/relationships/hyperlink" Target="2022\22-123" TargetMode="External"/><Relationship Id="rId798" Type="http://schemas.openxmlformats.org/officeDocument/2006/relationships/hyperlink" Target="file:///\\stratfs1.clemmertech.net\public\QCI%20Division\Quality%20Documentation-QCI\Alert%20System\Alerts\2024\24-116" TargetMode="External"/><Relationship Id="rId213" Type="http://schemas.openxmlformats.org/officeDocument/2006/relationships/hyperlink" Target="../../../ccharlebois/AppData/Roaming/Microsoft/Excel/2019/19-127" TargetMode="External"/><Relationship Id="rId420" Type="http://schemas.openxmlformats.org/officeDocument/2006/relationships/hyperlink" Target="2021\21-191" TargetMode="External"/><Relationship Id="rId658" Type="http://schemas.openxmlformats.org/officeDocument/2006/relationships/hyperlink" Target="2023\23-091" TargetMode="External"/><Relationship Id="rId865" Type="http://schemas.openxmlformats.org/officeDocument/2006/relationships/hyperlink" Target="file:///\\stratfs1.clemmertech.net\public\QCI%20Division\Quality%20Documentation-QCI\Alert%20System\Alerts\2025\25-008" TargetMode="External"/><Relationship Id="rId297" Type="http://schemas.openxmlformats.org/officeDocument/2006/relationships/hyperlink" Target="2020\20-056" TargetMode="External"/><Relationship Id="rId518" Type="http://schemas.openxmlformats.org/officeDocument/2006/relationships/hyperlink" Target="2022\22-081" TargetMode="External"/><Relationship Id="rId725" Type="http://schemas.openxmlformats.org/officeDocument/2006/relationships/hyperlink" Target="2024\24-033" TargetMode="External"/><Relationship Id="rId932" Type="http://schemas.openxmlformats.org/officeDocument/2006/relationships/hyperlink" Target="file:///\\stratfs1.clemmertech.net\public\QCI%20Division\Quality%20Documentation-QCI\Alert%20System\Alerts\2025\25-080" TargetMode="External"/><Relationship Id="rId157" Type="http://schemas.openxmlformats.org/officeDocument/2006/relationships/hyperlink" Target="../../../ccharlebois/AppData/Roaming/Microsoft/Excel/2019/19-070" TargetMode="External"/><Relationship Id="rId364" Type="http://schemas.openxmlformats.org/officeDocument/2006/relationships/hyperlink" Target="2020\20-125" TargetMode="External"/><Relationship Id="rId1008" Type="http://schemas.openxmlformats.org/officeDocument/2006/relationships/hyperlink" Target="file:///\\stratfs1.clemmertech.net\public\QCI%20Division\Quality%20Documentation-QCI\Alert%20System\Alerts\2025\25-174" TargetMode="External"/><Relationship Id="rId61" Type="http://schemas.openxmlformats.org/officeDocument/2006/relationships/hyperlink" Target="../../../ccharlebois/AppData/Roaming/Microsoft/Excel/2018/18-019.doc" TargetMode="External"/><Relationship Id="rId571" Type="http://schemas.openxmlformats.org/officeDocument/2006/relationships/hyperlink" Target="2023\23-001" TargetMode="External"/><Relationship Id="rId669" Type="http://schemas.openxmlformats.org/officeDocument/2006/relationships/hyperlink" Target="2023\23-102" TargetMode="External"/><Relationship Id="rId876" Type="http://schemas.openxmlformats.org/officeDocument/2006/relationships/hyperlink" Target="file:///\\stratfs1.clemmertech.net\public\QCI%20Division\Quality%20Documentation-QCI\Alert%20System\Alerts\2025\25-021" TargetMode="External"/><Relationship Id="rId19" Type="http://schemas.openxmlformats.org/officeDocument/2006/relationships/hyperlink" Target="../../../ccharlebois/AppData/Roaming/Microsoft/Excel/2017/17-018" TargetMode="External"/><Relationship Id="rId224" Type="http://schemas.openxmlformats.org/officeDocument/2006/relationships/hyperlink" Target="../../../ccharlebois/AppData/Roaming/Microsoft/Excel/2019/19-139" TargetMode="External"/><Relationship Id="rId431" Type="http://schemas.openxmlformats.org/officeDocument/2006/relationships/hyperlink" Target="2021\21-205" TargetMode="External"/><Relationship Id="rId529" Type="http://schemas.openxmlformats.org/officeDocument/2006/relationships/hyperlink" Target="2022\22-086" TargetMode="External"/><Relationship Id="rId736" Type="http://schemas.openxmlformats.org/officeDocument/2006/relationships/hyperlink" Target="2024\24-046" TargetMode="External"/><Relationship Id="rId168" Type="http://schemas.openxmlformats.org/officeDocument/2006/relationships/hyperlink" Target="../../../ccharlebois/AppData/Roaming/Microsoft/Excel/2019/19-075" TargetMode="External"/><Relationship Id="rId943" Type="http://schemas.openxmlformats.org/officeDocument/2006/relationships/hyperlink" Target="file:///\\stratfs1.clemmertech.net\public\QCI%20Division\Quality%20Documentation-QCI\Alert%20System\Alerts\2025\25-093" TargetMode="External"/><Relationship Id="rId72" Type="http://schemas.openxmlformats.org/officeDocument/2006/relationships/hyperlink" Target="../../../ccharlebois/AppData/Roaming/Microsoft/Excel/2018/18-029.doc" TargetMode="External"/><Relationship Id="rId375" Type="http://schemas.openxmlformats.org/officeDocument/2006/relationships/hyperlink" Target="2020\20-135" TargetMode="External"/><Relationship Id="rId582" Type="http://schemas.openxmlformats.org/officeDocument/2006/relationships/hyperlink" Target="2023\23-012" TargetMode="External"/><Relationship Id="rId803" Type="http://schemas.openxmlformats.org/officeDocument/2006/relationships/hyperlink" Target="file:///\\stratfs1.clemmertech.net\public\QCI%20Division\Quality%20Documentation-QCI\Alert%20System\Alerts\2024\24-120" TargetMode="External"/><Relationship Id="rId3" Type="http://schemas.openxmlformats.org/officeDocument/2006/relationships/hyperlink" Target="../../../ccharlebois/AppData/Roaming/Microsoft/Excel/2017/17-001" TargetMode="External"/><Relationship Id="rId235" Type="http://schemas.openxmlformats.org/officeDocument/2006/relationships/hyperlink" Target="../../../ccharlebois/AppData/Roaming/Microsoft/Excel/2019/19-149" TargetMode="External"/><Relationship Id="rId442" Type="http://schemas.openxmlformats.org/officeDocument/2006/relationships/hyperlink" Target="2022\22-008" TargetMode="External"/><Relationship Id="rId887" Type="http://schemas.openxmlformats.org/officeDocument/2006/relationships/hyperlink" Target="file:///\\stratfs1.clemmertech.net\public\QCI%20Division\Quality%20Documentation-QCI\Alert%20System\Alerts\2025\25-032" TargetMode="External"/><Relationship Id="rId302" Type="http://schemas.openxmlformats.org/officeDocument/2006/relationships/hyperlink" Target="2020\20-062" TargetMode="External"/><Relationship Id="rId747" Type="http://schemas.openxmlformats.org/officeDocument/2006/relationships/hyperlink" Target="2024\24-058" TargetMode="External"/><Relationship Id="rId954" Type="http://schemas.openxmlformats.org/officeDocument/2006/relationships/hyperlink" Target="file:///\\stratfs1\public\QCI%20Division\Quality%20Documentation-QCI\Alert%20System\Alerts\2025\25-105\25-105.doc" TargetMode="External"/><Relationship Id="rId83" Type="http://schemas.openxmlformats.org/officeDocument/2006/relationships/hyperlink" Target="../../../ccharlebois/AppData/Roaming/Microsoft/Excel/2018/18-041" TargetMode="External"/><Relationship Id="rId179" Type="http://schemas.openxmlformats.org/officeDocument/2006/relationships/hyperlink" Target="../../../ccharlebois/AppData/Roaming/Microsoft/Excel/2019/19-092" TargetMode="External"/><Relationship Id="rId386" Type="http://schemas.openxmlformats.org/officeDocument/2006/relationships/hyperlink" Target="2021\21-147" TargetMode="External"/><Relationship Id="rId593" Type="http://schemas.openxmlformats.org/officeDocument/2006/relationships/hyperlink" Target="2023\23-023" TargetMode="External"/><Relationship Id="rId607" Type="http://schemas.openxmlformats.org/officeDocument/2006/relationships/hyperlink" Target="2023\23-039" TargetMode="External"/><Relationship Id="rId814" Type="http://schemas.openxmlformats.org/officeDocument/2006/relationships/hyperlink" Target="file:///\\stratfs1.clemmertech.net\public\QCI%20Division\Quality%20Documentation-QCI\Alert%20System\Alerts\2024\24-131" TargetMode="External"/><Relationship Id="rId246" Type="http://schemas.openxmlformats.org/officeDocument/2006/relationships/hyperlink" Target="2020\20-009" TargetMode="External"/><Relationship Id="rId453" Type="http://schemas.openxmlformats.org/officeDocument/2006/relationships/hyperlink" Target="2021\21-196" TargetMode="External"/><Relationship Id="rId660" Type="http://schemas.openxmlformats.org/officeDocument/2006/relationships/hyperlink" Target="2023\23-092" TargetMode="External"/><Relationship Id="rId898" Type="http://schemas.openxmlformats.org/officeDocument/2006/relationships/hyperlink" Target="file:///\\stratfs1.clemmertech.net\public\QCI%20Division\Quality%20Documentation-QCI\Alert%20System\Alerts\2025\25-045" TargetMode="External"/><Relationship Id="rId106" Type="http://schemas.openxmlformats.org/officeDocument/2006/relationships/hyperlink" Target="../../../ccharlebois/AppData/Roaming/Microsoft/Excel/2019/19-017/19-017.doc" TargetMode="External"/><Relationship Id="rId313" Type="http://schemas.openxmlformats.org/officeDocument/2006/relationships/hyperlink" Target="2020\20-074" TargetMode="External"/><Relationship Id="rId758" Type="http://schemas.openxmlformats.org/officeDocument/2006/relationships/hyperlink" Target="2024\24-069" TargetMode="External"/><Relationship Id="rId965" Type="http://schemas.openxmlformats.org/officeDocument/2006/relationships/hyperlink" Target="file:///\\stratfs1.clemmertech.net\public\QCI%20Division\Quality%20Documentation-QCI\Alert%20System\Alerts\2025\25-118" TargetMode="External"/><Relationship Id="rId10" Type="http://schemas.openxmlformats.org/officeDocument/2006/relationships/hyperlink" Target="../../../ccharlebois/AppData/Roaming/Microsoft/Excel/2017/17-009" TargetMode="External"/><Relationship Id="rId94" Type="http://schemas.openxmlformats.org/officeDocument/2006/relationships/hyperlink" Target="../../../ccharlebois/AppData/Roaming/Microsoft/Excel/2019" TargetMode="External"/><Relationship Id="rId397" Type="http://schemas.openxmlformats.org/officeDocument/2006/relationships/hyperlink" Target="2021\21-158" TargetMode="External"/><Relationship Id="rId520" Type="http://schemas.openxmlformats.org/officeDocument/2006/relationships/hyperlink" Target="2022\22-084" TargetMode="External"/><Relationship Id="rId618" Type="http://schemas.openxmlformats.org/officeDocument/2006/relationships/hyperlink" Target="2023\23-050" TargetMode="External"/><Relationship Id="rId825" Type="http://schemas.openxmlformats.org/officeDocument/2006/relationships/hyperlink" Target="file:///\\stratfs1.clemmertech.net\public\QCI%20Division\Quality%20Documentation-QCI\Alert%20System\Alerts\2024\24-147"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1423"/>
  <sheetViews>
    <sheetView topLeftCell="J1" zoomScaleNormal="100" workbookViewId="0">
      <pane ySplit="2" topLeftCell="A1065" activePane="bottomLeft" state="frozen"/>
      <selection activeCell="E13" sqref="E13:G16"/>
      <selection pane="bottomLeft" activeCell="A1071" sqref="A1071"/>
    </sheetView>
  </sheetViews>
  <sheetFormatPr defaultRowHeight="37.15" customHeight="1"/>
  <cols>
    <col min="1" max="4" width="29.42578125" style="204" customWidth="1"/>
    <col min="5" max="5" width="15.28515625" style="222" customWidth="1"/>
    <col min="6" max="6" width="18.7109375" style="222" customWidth="1"/>
    <col min="7" max="7" width="19" style="204" customWidth="1"/>
    <col min="8" max="9" width="44.28515625" style="204" customWidth="1"/>
    <col min="10" max="11" width="29.42578125" style="204" customWidth="1"/>
    <col min="12" max="12" width="62.28515625" style="123" customWidth="1"/>
    <col min="13" max="13" width="29.42578125" style="51" customWidth="1"/>
    <col min="14" max="15" width="32.85546875" style="204" customWidth="1"/>
    <col min="16" max="16" width="49.42578125" style="12" customWidth="1"/>
    <col min="17" max="17" width="19" customWidth="1"/>
    <col min="18" max="18" width="32.7109375" customWidth="1"/>
    <col min="19" max="19" width="18.28515625" customWidth="1"/>
    <col min="20" max="20" width="2.28515625" customWidth="1"/>
  </cols>
  <sheetData>
    <row r="1" spans="1:19" ht="60">
      <c r="A1" s="68" t="s">
        <v>0</v>
      </c>
      <c r="B1" s="68" t="s">
        <v>1</v>
      </c>
      <c r="C1" s="68" t="s">
        <v>2</v>
      </c>
      <c r="D1" s="68" t="s">
        <v>3</v>
      </c>
      <c r="E1" s="69" t="s">
        <v>4</v>
      </c>
      <c r="F1" s="70" t="s">
        <v>5</v>
      </c>
      <c r="G1" s="71" t="s">
        <v>6</v>
      </c>
      <c r="H1" s="231" t="s">
        <v>7</v>
      </c>
      <c r="I1" s="231" t="s">
        <v>8</v>
      </c>
      <c r="J1" s="231" t="s">
        <v>9</v>
      </c>
      <c r="K1" s="231" t="s">
        <v>10</v>
      </c>
      <c r="L1" s="231" t="s">
        <v>11</v>
      </c>
      <c r="M1" s="231" t="s">
        <v>12</v>
      </c>
      <c r="N1" s="231" t="s">
        <v>13</v>
      </c>
      <c r="O1" s="72" t="s">
        <v>14</v>
      </c>
      <c r="P1" s="73" t="s">
        <v>15</v>
      </c>
      <c r="Q1" s="5" t="s">
        <v>16</v>
      </c>
      <c r="R1" t="s">
        <v>17</v>
      </c>
      <c r="S1" t="s">
        <v>18</v>
      </c>
    </row>
    <row r="2" spans="1:19" s="228" customFormat="1" ht="75">
      <c r="A2" s="223" t="s">
        <v>19</v>
      </c>
      <c r="B2" s="223" t="s">
        <v>20</v>
      </c>
      <c r="C2" s="223" t="s">
        <v>21</v>
      </c>
      <c r="D2" s="224" t="s">
        <v>22</v>
      </c>
      <c r="E2" s="225" t="s">
        <v>23</v>
      </c>
      <c r="F2" s="225" t="s">
        <v>24</v>
      </c>
      <c r="G2" s="224" t="s">
        <v>25</v>
      </c>
      <c r="H2" s="224" t="s">
        <v>26</v>
      </c>
      <c r="I2" s="224" t="s">
        <v>27</v>
      </c>
      <c r="J2" s="224" t="s">
        <v>28</v>
      </c>
      <c r="K2" s="224" t="s">
        <v>29</v>
      </c>
      <c r="L2" s="224" t="s">
        <v>30</v>
      </c>
      <c r="M2" s="224" t="s">
        <v>31</v>
      </c>
      <c r="N2" s="224" t="s">
        <v>32</v>
      </c>
      <c r="O2" s="224" t="s">
        <v>33</v>
      </c>
      <c r="P2" s="224" t="s">
        <v>34</v>
      </c>
      <c r="Q2" s="226" t="s">
        <v>35</v>
      </c>
      <c r="R2" s="227" t="s">
        <v>36</v>
      </c>
    </row>
    <row r="3" spans="1:19" ht="37.15" customHeight="1">
      <c r="A3" s="17" t="s">
        <v>37</v>
      </c>
      <c r="B3" s="74" t="s">
        <v>38</v>
      </c>
      <c r="C3" s="75"/>
      <c r="D3" s="76" t="s">
        <v>39</v>
      </c>
      <c r="E3" s="77">
        <v>42711</v>
      </c>
      <c r="F3" s="77">
        <v>42742</v>
      </c>
      <c r="G3" s="74" t="s">
        <v>40</v>
      </c>
      <c r="H3" s="74" t="s">
        <v>41</v>
      </c>
      <c r="I3" s="74"/>
      <c r="J3" s="74" t="s">
        <v>42</v>
      </c>
      <c r="K3" s="74" t="s">
        <v>43</v>
      </c>
      <c r="L3" s="78" t="s">
        <v>44</v>
      </c>
      <c r="M3" s="79"/>
      <c r="N3" s="76">
        <v>1</v>
      </c>
      <c r="O3" s="76"/>
      <c r="P3" s="80"/>
      <c r="Q3" s="76" t="s">
        <v>45</v>
      </c>
      <c r="R3" s="81"/>
    </row>
    <row r="4" spans="1:19" ht="37.15" customHeight="1">
      <c r="A4" s="18" t="s">
        <v>46</v>
      </c>
      <c r="B4" s="82" t="s">
        <v>47</v>
      </c>
      <c r="C4" s="83"/>
      <c r="D4" s="84" t="s">
        <v>39</v>
      </c>
      <c r="E4" s="85">
        <v>42725</v>
      </c>
      <c r="F4" s="85">
        <v>42756</v>
      </c>
      <c r="G4" s="82" t="s">
        <v>48</v>
      </c>
      <c r="H4" s="82" t="s">
        <v>49</v>
      </c>
      <c r="I4" s="82"/>
      <c r="J4" s="82" t="s">
        <v>50</v>
      </c>
      <c r="K4" s="82" t="s">
        <v>43</v>
      </c>
      <c r="L4" s="86" t="s">
        <v>51</v>
      </c>
      <c r="M4" s="79"/>
      <c r="N4" s="84">
        <v>1</v>
      </c>
      <c r="O4" s="84"/>
      <c r="P4" s="80"/>
      <c r="Q4" s="84" t="s">
        <v>45</v>
      </c>
      <c r="R4" s="81"/>
    </row>
    <row r="5" spans="1:19" ht="37.15" customHeight="1">
      <c r="A5" s="17" t="s">
        <v>52</v>
      </c>
      <c r="B5" s="74" t="s">
        <v>53</v>
      </c>
      <c r="C5" s="75"/>
      <c r="D5" s="76" t="s">
        <v>39</v>
      </c>
      <c r="E5" s="77">
        <v>42760</v>
      </c>
      <c r="F5" s="87" t="s">
        <v>43</v>
      </c>
      <c r="G5" s="74" t="s">
        <v>54</v>
      </c>
      <c r="H5" s="74" t="s">
        <v>55</v>
      </c>
      <c r="I5" s="74"/>
      <c r="J5" s="74" t="s">
        <v>56</v>
      </c>
      <c r="K5" s="74" t="s">
        <v>57</v>
      </c>
      <c r="L5" s="78" t="s">
        <v>58</v>
      </c>
      <c r="M5" s="79"/>
      <c r="N5" s="76">
        <v>1</v>
      </c>
      <c r="O5" s="76"/>
      <c r="P5" s="80"/>
      <c r="Q5" s="76" t="s">
        <v>45</v>
      </c>
      <c r="R5" s="81"/>
    </row>
    <row r="6" spans="1:19" ht="37.15" customHeight="1">
      <c r="A6" s="18" t="s">
        <v>59</v>
      </c>
      <c r="B6" s="82" t="s">
        <v>53</v>
      </c>
      <c r="C6" s="83"/>
      <c r="D6" s="84" t="s">
        <v>39</v>
      </c>
      <c r="E6" s="85">
        <v>42768</v>
      </c>
      <c r="F6" s="88">
        <v>42796</v>
      </c>
      <c r="G6" s="82" t="s">
        <v>60</v>
      </c>
      <c r="H6" s="82" t="s">
        <v>61</v>
      </c>
      <c r="I6" s="82"/>
      <c r="J6" s="82" t="s">
        <v>56</v>
      </c>
      <c r="K6" s="82" t="s">
        <v>62</v>
      </c>
      <c r="L6" s="86" t="s">
        <v>63</v>
      </c>
      <c r="M6" s="79"/>
      <c r="N6" s="84">
        <v>1</v>
      </c>
      <c r="O6" s="84"/>
      <c r="P6" s="80"/>
      <c r="Q6" s="84" t="s">
        <v>45</v>
      </c>
      <c r="R6" s="81"/>
    </row>
    <row r="7" spans="1:19" ht="37.15" customHeight="1">
      <c r="A7" s="17" t="s">
        <v>64</v>
      </c>
      <c r="B7" s="74" t="s">
        <v>53</v>
      </c>
      <c r="C7" s="75"/>
      <c r="D7" s="76" t="s">
        <v>39</v>
      </c>
      <c r="E7" s="77">
        <v>42765</v>
      </c>
      <c r="F7" s="87" t="s">
        <v>43</v>
      </c>
      <c r="G7" s="74" t="s">
        <v>54</v>
      </c>
      <c r="H7" s="76" t="s">
        <v>65</v>
      </c>
      <c r="I7" s="76"/>
      <c r="J7" s="74" t="s">
        <v>56</v>
      </c>
      <c r="K7" s="74" t="s">
        <v>42</v>
      </c>
      <c r="L7" s="78" t="s">
        <v>66</v>
      </c>
      <c r="M7" s="79"/>
      <c r="N7" s="76">
        <v>1</v>
      </c>
      <c r="O7" s="76"/>
      <c r="P7" s="80"/>
      <c r="Q7" s="76" t="s">
        <v>45</v>
      </c>
      <c r="R7" s="81"/>
    </row>
    <row r="8" spans="1:19" ht="37.15" customHeight="1">
      <c r="A8" s="18" t="s">
        <v>67</v>
      </c>
      <c r="B8" s="82" t="s">
        <v>53</v>
      </c>
      <c r="C8" s="83"/>
      <c r="D8" s="84" t="s">
        <v>39</v>
      </c>
      <c r="E8" s="85">
        <v>42765</v>
      </c>
      <c r="F8" s="88">
        <v>42794</v>
      </c>
      <c r="G8" s="82" t="s">
        <v>60</v>
      </c>
      <c r="H8" s="84" t="s">
        <v>68</v>
      </c>
      <c r="I8" s="84"/>
      <c r="J8" s="82" t="s">
        <v>56</v>
      </c>
      <c r="K8" s="82" t="s">
        <v>42</v>
      </c>
      <c r="L8" s="86" t="s">
        <v>69</v>
      </c>
      <c r="M8" s="79"/>
      <c r="N8" s="84">
        <v>1</v>
      </c>
      <c r="O8" s="84"/>
      <c r="P8" s="80"/>
      <c r="Q8" s="84" t="s">
        <v>45</v>
      </c>
      <c r="R8" s="81"/>
    </row>
    <row r="9" spans="1:19" ht="37.15" customHeight="1">
      <c r="A9" s="17" t="s">
        <v>70</v>
      </c>
      <c r="B9" s="74" t="s">
        <v>53</v>
      </c>
      <c r="C9" s="75"/>
      <c r="D9" s="76" t="s">
        <v>39</v>
      </c>
      <c r="E9" s="77">
        <v>42774</v>
      </c>
      <c r="F9" s="88">
        <v>42802</v>
      </c>
      <c r="G9" s="74" t="s">
        <v>71</v>
      </c>
      <c r="H9" s="74" t="s">
        <v>72</v>
      </c>
      <c r="I9" s="74"/>
      <c r="J9" s="74" t="s">
        <v>56</v>
      </c>
      <c r="K9" s="74" t="s">
        <v>73</v>
      </c>
      <c r="L9" s="78" t="s">
        <v>74</v>
      </c>
      <c r="M9" s="79"/>
      <c r="N9" s="76">
        <v>1</v>
      </c>
      <c r="O9" s="76"/>
      <c r="P9" s="80"/>
      <c r="Q9" s="76" t="s">
        <v>45</v>
      </c>
      <c r="R9" s="81"/>
    </row>
    <row r="10" spans="1:19" ht="37.15" customHeight="1">
      <c r="A10" s="18" t="s">
        <v>75</v>
      </c>
      <c r="B10" s="82" t="s">
        <v>53</v>
      </c>
      <c r="C10" s="83"/>
      <c r="D10" s="84" t="s">
        <v>39</v>
      </c>
      <c r="E10" s="85">
        <v>42783</v>
      </c>
      <c r="F10" s="87" t="s">
        <v>43</v>
      </c>
      <c r="G10" s="82" t="s">
        <v>71</v>
      </c>
      <c r="H10" s="82" t="s">
        <v>76</v>
      </c>
      <c r="I10" s="82"/>
      <c r="J10" s="82" t="s">
        <v>56</v>
      </c>
      <c r="K10" s="82" t="s">
        <v>77</v>
      </c>
      <c r="L10" s="86" t="s">
        <v>78</v>
      </c>
      <c r="M10" s="79"/>
      <c r="N10" s="84">
        <v>1</v>
      </c>
      <c r="O10" s="84"/>
      <c r="P10" s="80"/>
      <c r="Q10" s="84" t="s">
        <v>45</v>
      </c>
      <c r="R10" s="81"/>
    </row>
    <row r="11" spans="1:19" ht="37.15" hidden="1" customHeight="1">
      <c r="A11" s="17" t="s">
        <v>79</v>
      </c>
      <c r="B11" s="74" t="s">
        <v>38</v>
      </c>
      <c r="C11" s="75"/>
      <c r="D11" s="76" t="s">
        <v>39</v>
      </c>
      <c r="E11" s="77">
        <v>42787</v>
      </c>
      <c r="F11" s="77">
        <v>42843</v>
      </c>
      <c r="G11" s="74" t="s">
        <v>71</v>
      </c>
      <c r="H11" s="76" t="s">
        <v>80</v>
      </c>
      <c r="I11" s="76"/>
      <c r="J11" s="74" t="s">
        <v>81</v>
      </c>
      <c r="K11" s="76" t="s">
        <v>82</v>
      </c>
      <c r="L11" s="78" t="s">
        <v>83</v>
      </c>
      <c r="M11" s="79"/>
      <c r="N11" s="76">
        <v>1</v>
      </c>
      <c r="O11" s="76"/>
      <c r="P11" s="80"/>
      <c r="Q11" s="76" t="s">
        <v>45</v>
      </c>
      <c r="R11" s="81"/>
    </row>
    <row r="12" spans="1:19" ht="37.15" customHeight="1">
      <c r="A12" s="18" t="s">
        <v>84</v>
      </c>
      <c r="B12" s="82" t="s">
        <v>53</v>
      </c>
      <c r="C12" s="83"/>
      <c r="D12" s="84" t="s">
        <v>39</v>
      </c>
      <c r="E12" s="85">
        <v>42794</v>
      </c>
      <c r="F12" s="85">
        <v>42825</v>
      </c>
      <c r="G12" s="82" t="s">
        <v>60</v>
      </c>
      <c r="H12" s="84" t="s">
        <v>85</v>
      </c>
      <c r="I12" s="84"/>
      <c r="J12" s="82" t="s">
        <v>56</v>
      </c>
      <c r="K12" s="82" t="s">
        <v>42</v>
      </c>
      <c r="L12" s="86" t="s">
        <v>86</v>
      </c>
      <c r="M12" s="79"/>
      <c r="N12" s="84">
        <v>1</v>
      </c>
      <c r="O12" s="84"/>
      <c r="P12" s="80"/>
      <c r="Q12" s="84" t="s">
        <v>45</v>
      </c>
      <c r="R12" s="81"/>
    </row>
    <row r="13" spans="1:19" ht="37.15" customHeight="1">
      <c r="A13" s="17" t="s">
        <v>87</v>
      </c>
      <c r="B13" s="74" t="s">
        <v>53</v>
      </c>
      <c r="C13" s="75"/>
      <c r="D13" s="76" t="s">
        <v>39</v>
      </c>
      <c r="E13" s="77">
        <v>42784</v>
      </c>
      <c r="F13" s="87" t="s">
        <v>43</v>
      </c>
      <c r="G13" s="74" t="s">
        <v>54</v>
      </c>
      <c r="H13" s="74" t="s">
        <v>88</v>
      </c>
      <c r="I13" s="74"/>
      <c r="J13" s="74" t="s">
        <v>56</v>
      </c>
      <c r="K13" s="74" t="s">
        <v>42</v>
      </c>
      <c r="L13" s="78" t="s">
        <v>89</v>
      </c>
      <c r="M13" s="79"/>
      <c r="N13" s="76">
        <v>1</v>
      </c>
      <c r="O13" s="76"/>
      <c r="P13" s="80"/>
      <c r="Q13" s="76" t="s">
        <v>45</v>
      </c>
      <c r="R13" s="81"/>
    </row>
    <row r="14" spans="1:19" ht="37.15" customHeight="1">
      <c r="A14" s="18" t="s">
        <v>90</v>
      </c>
      <c r="B14" s="82" t="s">
        <v>53</v>
      </c>
      <c r="C14" s="83"/>
      <c r="D14" s="84" t="s">
        <v>39</v>
      </c>
      <c r="E14" s="85">
        <v>42796</v>
      </c>
      <c r="F14" s="85">
        <v>42827</v>
      </c>
      <c r="G14" s="82" t="s">
        <v>60</v>
      </c>
      <c r="H14" s="84" t="s">
        <v>91</v>
      </c>
      <c r="I14" s="84"/>
      <c r="J14" s="82" t="s">
        <v>56</v>
      </c>
      <c r="K14" s="82" t="s">
        <v>42</v>
      </c>
      <c r="L14" s="86" t="s">
        <v>92</v>
      </c>
      <c r="M14" s="79"/>
      <c r="N14" s="84">
        <v>1</v>
      </c>
      <c r="O14" s="84"/>
      <c r="P14" s="80"/>
      <c r="Q14" s="84" t="s">
        <v>45</v>
      </c>
      <c r="R14" s="81"/>
    </row>
    <row r="15" spans="1:19" ht="37.15" customHeight="1">
      <c r="A15" s="17" t="s">
        <v>93</v>
      </c>
      <c r="B15" s="74" t="s">
        <v>53</v>
      </c>
      <c r="C15" s="75"/>
      <c r="D15" s="76" t="s">
        <v>39</v>
      </c>
      <c r="E15" s="77">
        <v>42803</v>
      </c>
      <c r="F15" s="77">
        <v>42834</v>
      </c>
      <c r="G15" s="74" t="s">
        <v>60</v>
      </c>
      <c r="H15" s="74" t="s">
        <v>94</v>
      </c>
      <c r="I15" s="74"/>
      <c r="J15" s="74" t="s">
        <v>56</v>
      </c>
      <c r="K15" s="74" t="s">
        <v>42</v>
      </c>
      <c r="L15" s="78" t="s">
        <v>95</v>
      </c>
      <c r="M15" s="79"/>
      <c r="N15" s="76">
        <v>1</v>
      </c>
      <c r="O15" s="76"/>
      <c r="P15" s="80"/>
      <c r="Q15" s="76" t="s">
        <v>45</v>
      </c>
      <c r="R15" s="81"/>
    </row>
    <row r="16" spans="1:19" ht="37.15" customHeight="1">
      <c r="A16" s="18" t="s">
        <v>96</v>
      </c>
      <c r="B16" s="82" t="s">
        <v>53</v>
      </c>
      <c r="C16" s="83"/>
      <c r="D16" s="84" t="s">
        <v>39</v>
      </c>
      <c r="E16" s="85">
        <v>42805</v>
      </c>
      <c r="F16" s="85">
        <v>42836</v>
      </c>
      <c r="G16" s="82" t="s">
        <v>60</v>
      </c>
      <c r="H16" s="82" t="s">
        <v>97</v>
      </c>
      <c r="I16" s="82"/>
      <c r="J16" s="82" t="s">
        <v>98</v>
      </c>
      <c r="K16" s="82" t="s">
        <v>42</v>
      </c>
      <c r="L16" s="86" t="s">
        <v>99</v>
      </c>
      <c r="M16" s="79"/>
      <c r="N16" s="84">
        <v>1</v>
      </c>
      <c r="O16" s="84"/>
      <c r="P16" s="80"/>
      <c r="Q16" s="84" t="s">
        <v>45</v>
      </c>
      <c r="R16" s="81"/>
    </row>
    <row r="17" spans="1:18" ht="37.15" customHeight="1">
      <c r="A17" s="17" t="s">
        <v>100</v>
      </c>
      <c r="B17" s="74" t="s">
        <v>53</v>
      </c>
      <c r="C17" s="75"/>
      <c r="D17" s="76" t="s">
        <v>39</v>
      </c>
      <c r="E17" s="77">
        <v>42810</v>
      </c>
      <c r="F17" s="87" t="s">
        <v>43</v>
      </c>
      <c r="G17" s="74" t="s">
        <v>60</v>
      </c>
      <c r="H17" s="74" t="s">
        <v>101</v>
      </c>
      <c r="I17" s="74"/>
      <c r="J17" s="74" t="s">
        <v>102</v>
      </c>
      <c r="K17" s="74" t="s">
        <v>42</v>
      </c>
      <c r="L17" s="78" t="s">
        <v>103</v>
      </c>
      <c r="M17" s="79"/>
      <c r="N17" s="76">
        <v>2</v>
      </c>
      <c r="O17" s="76"/>
      <c r="P17" s="80"/>
      <c r="Q17" s="76" t="s">
        <v>45</v>
      </c>
      <c r="R17" s="81"/>
    </row>
    <row r="18" spans="1:18" ht="37.15" customHeight="1">
      <c r="A18" s="18" t="s">
        <v>104</v>
      </c>
      <c r="B18" s="82" t="s">
        <v>53</v>
      </c>
      <c r="C18" s="83"/>
      <c r="D18" s="84" t="s">
        <v>39</v>
      </c>
      <c r="E18" s="85">
        <v>42816</v>
      </c>
      <c r="F18" s="87" t="s">
        <v>43</v>
      </c>
      <c r="G18" s="82" t="s">
        <v>60</v>
      </c>
      <c r="H18" s="82" t="s">
        <v>105</v>
      </c>
      <c r="I18" s="82"/>
      <c r="J18" s="82" t="s">
        <v>56</v>
      </c>
      <c r="K18" s="82" t="s">
        <v>42</v>
      </c>
      <c r="L18" s="86" t="s">
        <v>106</v>
      </c>
      <c r="M18" s="79"/>
      <c r="N18" s="84">
        <v>1</v>
      </c>
      <c r="O18" s="84"/>
      <c r="P18" s="80"/>
      <c r="Q18" s="84" t="s">
        <v>45</v>
      </c>
      <c r="R18" s="81"/>
    </row>
    <row r="19" spans="1:18" ht="37.15" hidden="1" customHeight="1">
      <c r="A19" s="17" t="s">
        <v>107</v>
      </c>
      <c r="B19" s="74" t="s">
        <v>38</v>
      </c>
      <c r="C19" s="75"/>
      <c r="D19" s="76" t="s">
        <v>39</v>
      </c>
      <c r="E19" s="77">
        <v>42818</v>
      </c>
      <c r="F19" s="77">
        <v>42879</v>
      </c>
      <c r="G19" s="74" t="s">
        <v>108</v>
      </c>
      <c r="H19" s="74" t="s">
        <v>109</v>
      </c>
      <c r="I19" s="74"/>
      <c r="J19" s="74" t="s">
        <v>56</v>
      </c>
      <c r="K19" s="74" t="s">
        <v>110</v>
      </c>
      <c r="L19" s="78" t="s">
        <v>111</v>
      </c>
      <c r="M19" s="79"/>
      <c r="N19" s="76">
        <v>2</v>
      </c>
      <c r="O19" s="76"/>
      <c r="P19" s="80"/>
      <c r="Q19" s="76" t="s">
        <v>45</v>
      </c>
      <c r="R19" s="81"/>
    </row>
    <row r="20" spans="1:18" ht="37.15" hidden="1" customHeight="1">
      <c r="A20" s="18" t="s">
        <v>112</v>
      </c>
      <c r="B20" s="82" t="s">
        <v>38</v>
      </c>
      <c r="C20" s="83"/>
      <c r="D20" s="84" t="s">
        <v>39</v>
      </c>
      <c r="E20" s="85">
        <v>42818</v>
      </c>
      <c r="F20" s="85">
        <v>42879</v>
      </c>
      <c r="G20" s="82" t="s">
        <v>108</v>
      </c>
      <c r="H20" s="82" t="s">
        <v>113</v>
      </c>
      <c r="I20" s="82"/>
      <c r="J20" s="82" t="s">
        <v>42</v>
      </c>
      <c r="K20" s="82" t="s">
        <v>114</v>
      </c>
      <c r="L20" s="86" t="s">
        <v>115</v>
      </c>
      <c r="M20" s="79"/>
      <c r="N20" s="84">
        <v>3</v>
      </c>
      <c r="O20" s="84"/>
      <c r="P20" s="80"/>
      <c r="Q20" s="84" t="s">
        <v>45</v>
      </c>
      <c r="R20" s="81"/>
    </row>
    <row r="21" spans="1:18" ht="37.15" customHeight="1">
      <c r="A21" s="17" t="s">
        <v>116</v>
      </c>
      <c r="B21" s="74" t="s">
        <v>53</v>
      </c>
      <c r="C21" s="75"/>
      <c r="D21" s="76" t="s">
        <v>117</v>
      </c>
      <c r="E21" s="77">
        <v>42821</v>
      </c>
      <c r="F21" s="77">
        <v>42852</v>
      </c>
      <c r="G21" s="74" t="s">
        <v>71</v>
      </c>
      <c r="H21" s="76" t="s">
        <v>118</v>
      </c>
      <c r="I21" s="76"/>
      <c r="J21" s="74" t="s">
        <v>119</v>
      </c>
      <c r="K21" s="76" t="s">
        <v>120</v>
      </c>
      <c r="L21" s="78" t="s">
        <v>121</v>
      </c>
      <c r="M21" s="79"/>
      <c r="N21" s="76" t="s">
        <v>43</v>
      </c>
      <c r="O21" s="76"/>
      <c r="P21" s="80"/>
      <c r="Q21" s="76" t="s">
        <v>45</v>
      </c>
      <c r="R21" s="81"/>
    </row>
    <row r="22" spans="1:18" ht="37.15" hidden="1" customHeight="1">
      <c r="A22" s="18" t="s">
        <v>122</v>
      </c>
      <c r="B22" s="82" t="s">
        <v>47</v>
      </c>
      <c r="C22" s="83"/>
      <c r="D22" s="84" t="s">
        <v>117</v>
      </c>
      <c r="E22" s="85">
        <v>42821</v>
      </c>
      <c r="F22" s="85">
        <v>42852</v>
      </c>
      <c r="G22" s="82" t="s">
        <v>71</v>
      </c>
      <c r="H22" s="84" t="s">
        <v>118</v>
      </c>
      <c r="I22" s="84"/>
      <c r="J22" s="82" t="s">
        <v>119</v>
      </c>
      <c r="K22" s="84" t="s">
        <v>120</v>
      </c>
      <c r="L22" s="86" t="s">
        <v>121</v>
      </c>
      <c r="M22" s="79"/>
      <c r="N22" s="84" t="s">
        <v>43</v>
      </c>
      <c r="O22" s="84"/>
      <c r="P22" s="80"/>
      <c r="Q22" s="84" t="s">
        <v>45</v>
      </c>
      <c r="R22" s="81"/>
    </row>
    <row r="23" spans="1:18" ht="37.15" hidden="1" customHeight="1">
      <c r="A23" s="17" t="s">
        <v>123</v>
      </c>
      <c r="B23" s="74" t="s">
        <v>38</v>
      </c>
      <c r="C23" s="75"/>
      <c r="D23" s="76" t="s">
        <v>39</v>
      </c>
      <c r="E23" s="77">
        <v>42825</v>
      </c>
      <c r="F23" s="77">
        <v>42855</v>
      </c>
      <c r="G23" s="74" t="s">
        <v>108</v>
      </c>
      <c r="H23" s="76" t="s">
        <v>124</v>
      </c>
      <c r="I23" s="76"/>
      <c r="J23" s="74" t="s">
        <v>56</v>
      </c>
      <c r="K23" s="74" t="s">
        <v>125</v>
      </c>
      <c r="L23" s="78" t="s">
        <v>126</v>
      </c>
      <c r="M23" s="79"/>
      <c r="N23" s="76" t="s">
        <v>43</v>
      </c>
      <c r="O23" s="76"/>
      <c r="P23" s="80"/>
      <c r="Q23" s="76" t="s">
        <v>45</v>
      </c>
      <c r="R23" s="81"/>
    </row>
    <row r="24" spans="1:18" ht="37.15" customHeight="1">
      <c r="A24" s="89" t="s">
        <v>127</v>
      </c>
      <c r="B24" s="82" t="s">
        <v>53</v>
      </c>
      <c r="C24" s="83"/>
      <c r="D24" s="84" t="s">
        <v>39</v>
      </c>
      <c r="E24" s="85">
        <v>42828</v>
      </c>
      <c r="F24" s="85">
        <v>42858</v>
      </c>
      <c r="G24" s="82" t="s">
        <v>60</v>
      </c>
      <c r="H24" s="82" t="s">
        <v>128</v>
      </c>
      <c r="I24" s="82"/>
      <c r="J24" s="82" t="s">
        <v>56</v>
      </c>
      <c r="K24" s="82" t="s">
        <v>42</v>
      </c>
      <c r="L24" s="86" t="s">
        <v>129</v>
      </c>
      <c r="M24" s="79"/>
      <c r="N24" s="84" t="s">
        <v>43</v>
      </c>
      <c r="O24" s="84"/>
      <c r="P24" s="80"/>
      <c r="Q24" s="84" t="s">
        <v>45</v>
      </c>
      <c r="R24" s="81"/>
    </row>
    <row r="25" spans="1:18" ht="37.15" customHeight="1">
      <c r="A25" s="90" t="s">
        <v>130</v>
      </c>
      <c r="B25" s="74" t="s">
        <v>53</v>
      </c>
      <c r="C25" s="75"/>
      <c r="D25" s="76" t="s">
        <v>39</v>
      </c>
      <c r="E25" s="77">
        <v>42859</v>
      </c>
      <c r="F25" s="77">
        <v>42890</v>
      </c>
      <c r="G25" s="74" t="s">
        <v>71</v>
      </c>
      <c r="H25" s="74" t="s">
        <v>131</v>
      </c>
      <c r="I25" s="74"/>
      <c r="J25" s="74" t="s">
        <v>56</v>
      </c>
      <c r="K25" s="74">
        <v>500417</v>
      </c>
      <c r="L25" s="78" t="s">
        <v>132</v>
      </c>
      <c r="M25" s="79"/>
      <c r="N25" s="76" t="s">
        <v>43</v>
      </c>
      <c r="O25" s="76"/>
      <c r="P25" s="80"/>
      <c r="Q25" s="76" t="s">
        <v>45</v>
      </c>
      <c r="R25" s="81"/>
    </row>
    <row r="26" spans="1:18" ht="37.15" customHeight="1">
      <c r="A26" s="82" t="s">
        <v>133</v>
      </c>
      <c r="B26" s="82" t="s">
        <v>53</v>
      </c>
      <c r="C26" s="83"/>
      <c r="D26" s="84" t="s">
        <v>39</v>
      </c>
      <c r="E26" s="85">
        <v>42867</v>
      </c>
      <c r="F26" s="85">
        <v>42898</v>
      </c>
      <c r="G26" s="82" t="s">
        <v>71</v>
      </c>
      <c r="H26" s="82" t="s">
        <v>134</v>
      </c>
      <c r="I26" s="82"/>
      <c r="J26" s="82" t="s">
        <v>56</v>
      </c>
      <c r="K26" s="82" t="s">
        <v>42</v>
      </c>
      <c r="L26" s="86" t="s">
        <v>135</v>
      </c>
      <c r="M26" s="79"/>
      <c r="N26" s="84">
        <v>1</v>
      </c>
      <c r="O26" s="84"/>
      <c r="P26" s="80"/>
      <c r="Q26" s="84" t="s">
        <v>45</v>
      </c>
      <c r="R26" s="81"/>
    </row>
    <row r="27" spans="1:18" ht="37.15" customHeight="1">
      <c r="A27" s="74" t="s">
        <v>136</v>
      </c>
      <c r="B27" s="74" t="s">
        <v>53</v>
      </c>
      <c r="C27" s="75"/>
      <c r="D27" s="76" t="s">
        <v>39</v>
      </c>
      <c r="E27" s="77">
        <v>42867</v>
      </c>
      <c r="F27" s="77">
        <v>42898</v>
      </c>
      <c r="G27" s="74" t="s">
        <v>71</v>
      </c>
      <c r="H27" s="74" t="s">
        <v>88</v>
      </c>
      <c r="I27" s="74"/>
      <c r="J27" s="74" t="s">
        <v>56</v>
      </c>
      <c r="K27" s="74" t="s">
        <v>137</v>
      </c>
      <c r="L27" s="78" t="s">
        <v>138</v>
      </c>
      <c r="M27" s="79"/>
      <c r="N27" s="76">
        <v>1</v>
      </c>
      <c r="O27" s="76"/>
      <c r="P27" s="80"/>
      <c r="Q27" s="76" t="s">
        <v>45</v>
      </c>
      <c r="R27" s="81"/>
    </row>
    <row r="28" spans="1:18" ht="37.15" customHeight="1">
      <c r="A28" s="89" t="s">
        <v>139</v>
      </c>
      <c r="B28" s="82" t="s">
        <v>53</v>
      </c>
      <c r="C28" s="83"/>
      <c r="D28" s="84" t="s">
        <v>117</v>
      </c>
      <c r="E28" s="85">
        <v>42871</v>
      </c>
      <c r="F28" s="85">
        <v>42902</v>
      </c>
      <c r="G28" s="82" t="s">
        <v>140</v>
      </c>
      <c r="H28" s="82" t="s">
        <v>141</v>
      </c>
      <c r="I28" s="82"/>
      <c r="J28" s="82" t="s">
        <v>102</v>
      </c>
      <c r="K28" s="82" t="s">
        <v>142</v>
      </c>
      <c r="L28" s="86" t="s">
        <v>143</v>
      </c>
      <c r="M28" s="79"/>
      <c r="N28" s="84">
        <v>1</v>
      </c>
      <c r="O28" s="84"/>
      <c r="P28" s="80"/>
      <c r="Q28" s="84" t="s">
        <v>45</v>
      </c>
      <c r="R28" s="81"/>
    </row>
    <row r="29" spans="1:18" ht="37.15" customHeight="1">
      <c r="A29" s="90" t="s">
        <v>144</v>
      </c>
      <c r="B29" s="74" t="s">
        <v>53</v>
      </c>
      <c r="C29" s="75"/>
      <c r="D29" s="76" t="s">
        <v>39</v>
      </c>
      <c r="E29" s="77">
        <v>42873</v>
      </c>
      <c r="F29" s="77">
        <v>42904</v>
      </c>
      <c r="G29" s="74" t="s">
        <v>60</v>
      </c>
      <c r="H29" s="74">
        <v>13645</v>
      </c>
      <c r="I29" s="74"/>
      <c r="J29" s="74" t="s">
        <v>56</v>
      </c>
      <c r="K29" s="74"/>
      <c r="L29" s="78" t="s">
        <v>145</v>
      </c>
      <c r="M29" s="79"/>
      <c r="N29" s="76">
        <v>1</v>
      </c>
      <c r="O29" s="76"/>
      <c r="P29" s="80"/>
      <c r="Q29" s="76" t="s">
        <v>45</v>
      </c>
      <c r="R29" s="81"/>
    </row>
    <row r="30" spans="1:18" ht="37.15" customHeight="1">
      <c r="A30" s="82" t="s">
        <v>146</v>
      </c>
      <c r="B30" s="82" t="s">
        <v>53</v>
      </c>
      <c r="C30" s="83"/>
      <c r="D30" s="84" t="s">
        <v>39</v>
      </c>
      <c r="E30" s="85">
        <v>42907</v>
      </c>
      <c r="F30" s="85">
        <v>42968</v>
      </c>
      <c r="G30" s="82" t="s">
        <v>60</v>
      </c>
      <c r="H30" s="82" t="s">
        <v>147</v>
      </c>
      <c r="I30" s="82"/>
      <c r="J30" s="82" t="s">
        <v>56</v>
      </c>
      <c r="K30" s="82"/>
      <c r="L30" s="86" t="s">
        <v>148</v>
      </c>
      <c r="M30" s="79"/>
      <c r="N30" s="84">
        <v>1</v>
      </c>
      <c r="O30" s="84"/>
      <c r="P30" s="80"/>
      <c r="Q30" s="84" t="s">
        <v>45</v>
      </c>
      <c r="R30" s="81"/>
    </row>
    <row r="31" spans="1:18" ht="37.15" hidden="1" customHeight="1">
      <c r="A31" s="90" t="s">
        <v>149</v>
      </c>
      <c r="B31" s="74" t="s">
        <v>38</v>
      </c>
      <c r="C31" s="75"/>
      <c r="D31" s="76" t="s">
        <v>39</v>
      </c>
      <c r="E31" s="77">
        <v>42913</v>
      </c>
      <c r="F31" s="77">
        <v>42943</v>
      </c>
      <c r="G31" s="74" t="s">
        <v>108</v>
      </c>
      <c r="H31" s="74" t="s">
        <v>150</v>
      </c>
      <c r="I31" s="74"/>
      <c r="J31" s="74" t="s">
        <v>56</v>
      </c>
      <c r="K31" s="74" t="s">
        <v>42</v>
      </c>
      <c r="L31" s="78" t="s">
        <v>151</v>
      </c>
      <c r="M31" s="79"/>
      <c r="N31" s="76">
        <v>1</v>
      </c>
      <c r="O31" s="76"/>
      <c r="P31" s="80"/>
      <c r="Q31" s="76" t="s">
        <v>45</v>
      </c>
      <c r="R31" s="81"/>
    </row>
    <row r="32" spans="1:18" ht="37.15" customHeight="1">
      <c r="A32" s="82" t="s">
        <v>152</v>
      </c>
      <c r="B32" s="82" t="s">
        <v>53</v>
      </c>
      <c r="C32" s="83"/>
      <c r="D32" s="84" t="s">
        <v>39</v>
      </c>
      <c r="E32" s="85">
        <v>42948</v>
      </c>
      <c r="F32" s="85">
        <v>42979</v>
      </c>
      <c r="G32" s="82" t="s">
        <v>71</v>
      </c>
      <c r="H32" s="82" t="s">
        <v>153</v>
      </c>
      <c r="I32" s="82"/>
      <c r="J32" s="82" t="s">
        <v>56</v>
      </c>
      <c r="K32" s="82" t="s">
        <v>154</v>
      </c>
      <c r="L32" s="86" t="s">
        <v>155</v>
      </c>
      <c r="M32" s="79"/>
      <c r="N32" s="84">
        <v>2</v>
      </c>
      <c r="O32" s="84"/>
      <c r="P32" s="80"/>
      <c r="Q32" s="84" t="s">
        <v>45</v>
      </c>
      <c r="R32" s="81"/>
    </row>
    <row r="33" spans="1:18" ht="37.15" customHeight="1">
      <c r="A33" s="90" t="s">
        <v>156</v>
      </c>
      <c r="B33" s="74" t="s">
        <v>53</v>
      </c>
      <c r="C33" s="75"/>
      <c r="D33" s="76" t="s">
        <v>39</v>
      </c>
      <c r="E33" s="77">
        <v>42950</v>
      </c>
      <c r="F33" s="77">
        <v>42981</v>
      </c>
      <c r="G33" s="74" t="s">
        <v>60</v>
      </c>
      <c r="H33" s="74" t="s">
        <v>157</v>
      </c>
      <c r="I33" s="74"/>
      <c r="J33" s="74" t="s">
        <v>56</v>
      </c>
      <c r="K33" s="74" t="s">
        <v>158</v>
      </c>
      <c r="L33" s="78" t="s">
        <v>159</v>
      </c>
      <c r="M33" s="79"/>
      <c r="N33" s="76">
        <v>2</v>
      </c>
      <c r="O33" s="76"/>
      <c r="P33" s="80"/>
      <c r="Q33" s="76" t="s">
        <v>45</v>
      </c>
      <c r="R33" s="81"/>
    </row>
    <row r="34" spans="1:18" ht="37.15" customHeight="1">
      <c r="A34" s="89" t="s">
        <v>160</v>
      </c>
      <c r="B34" s="82" t="s">
        <v>53</v>
      </c>
      <c r="C34" s="83"/>
      <c r="D34" s="84" t="s">
        <v>39</v>
      </c>
      <c r="E34" s="85">
        <v>42968</v>
      </c>
      <c r="F34" s="85">
        <v>42999</v>
      </c>
      <c r="G34" s="82" t="s">
        <v>71</v>
      </c>
      <c r="H34" s="82" t="s">
        <v>161</v>
      </c>
      <c r="I34" s="82"/>
      <c r="J34" s="82" t="s">
        <v>56</v>
      </c>
      <c r="K34" s="82">
        <v>500749</v>
      </c>
      <c r="L34" s="86" t="s">
        <v>162</v>
      </c>
      <c r="M34" s="79"/>
      <c r="N34" s="84">
        <v>2</v>
      </c>
      <c r="O34" s="84"/>
      <c r="P34" s="80"/>
      <c r="Q34" s="84" t="s">
        <v>45</v>
      </c>
      <c r="R34" s="81"/>
    </row>
    <row r="35" spans="1:18" ht="37.15" customHeight="1">
      <c r="A35" s="90" t="s">
        <v>163</v>
      </c>
      <c r="B35" s="74" t="s">
        <v>53</v>
      </c>
      <c r="C35" s="75"/>
      <c r="D35" s="76" t="s">
        <v>39</v>
      </c>
      <c r="E35" s="77">
        <v>42971</v>
      </c>
      <c r="F35" s="77">
        <v>43002</v>
      </c>
      <c r="G35" s="74" t="s">
        <v>71</v>
      </c>
      <c r="H35" s="74" t="s">
        <v>153</v>
      </c>
      <c r="I35" s="74"/>
      <c r="J35" s="74" t="s">
        <v>56</v>
      </c>
      <c r="K35" s="74">
        <v>500786</v>
      </c>
      <c r="L35" s="78" t="s">
        <v>164</v>
      </c>
      <c r="M35" s="79"/>
      <c r="N35" s="76">
        <v>1</v>
      </c>
      <c r="O35" s="76"/>
      <c r="P35" s="80"/>
      <c r="Q35" s="76" t="s">
        <v>45</v>
      </c>
      <c r="R35" s="81"/>
    </row>
    <row r="36" spans="1:18" ht="37.15" customHeight="1">
      <c r="A36" s="89" t="s">
        <v>165</v>
      </c>
      <c r="B36" s="82" t="s">
        <v>53</v>
      </c>
      <c r="C36" s="83"/>
      <c r="D36" s="84" t="s">
        <v>39</v>
      </c>
      <c r="E36" s="85">
        <v>42972</v>
      </c>
      <c r="F36" s="85">
        <v>43003</v>
      </c>
      <c r="G36" s="82" t="s">
        <v>71</v>
      </c>
      <c r="H36" s="82" t="s">
        <v>166</v>
      </c>
      <c r="I36" s="82"/>
      <c r="J36" s="82" t="s">
        <v>56</v>
      </c>
      <c r="K36" s="82">
        <v>951319</v>
      </c>
      <c r="L36" s="86" t="s">
        <v>167</v>
      </c>
      <c r="M36" s="79"/>
      <c r="N36" s="84"/>
      <c r="O36" s="84"/>
      <c r="P36" s="80"/>
      <c r="Q36" s="84" t="s">
        <v>45</v>
      </c>
      <c r="R36" s="81"/>
    </row>
    <row r="37" spans="1:18" ht="37.15" customHeight="1">
      <c r="A37" s="90" t="s">
        <v>168</v>
      </c>
      <c r="B37" s="74" t="s">
        <v>53</v>
      </c>
      <c r="C37" s="75"/>
      <c r="D37" s="76" t="s">
        <v>39</v>
      </c>
      <c r="E37" s="77">
        <v>42987</v>
      </c>
      <c r="F37" s="77">
        <v>43017</v>
      </c>
      <c r="G37" s="74" t="s">
        <v>71</v>
      </c>
      <c r="H37" s="74" t="s">
        <v>169</v>
      </c>
      <c r="I37" s="74"/>
      <c r="J37" s="74" t="s">
        <v>56</v>
      </c>
      <c r="K37" s="74">
        <v>500876</v>
      </c>
      <c r="L37" s="78" t="s">
        <v>170</v>
      </c>
      <c r="M37" s="79"/>
      <c r="N37" s="76">
        <v>2</v>
      </c>
      <c r="O37" s="76"/>
      <c r="P37" s="80"/>
      <c r="Q37" s="76" t="s">
        <v>45</v>
      </c>
      <c r="R37" s="81"/>
    </row>
    <row r="38" spans="1:18" ht="37.15" customHeight="1">
      <c r="A38" s="89" t="s">
        <v>171</v>
      </c>
      <c r="B38" s="82" t="s">
        <v>53</v>
      </c>
      <c r="C38" s="83"/>
      <c r="D38" s="84" t="s">
        <v>39</v>
      </c>
      <c r="E38" s="85">
        <v>42997</v>
      </c>
      <c r="F38" s="85">
        <v>43027</v>
      </c>
      <c r="G38" s="82" t="s">
        <v>71</v>
      </c>
      <c r="H38" s="91" t="s">
        <v>172</v>
      </c>
      <c r="I38" s="91"/>
      <c r="J38" s="82" t="s">
        <v>56</v>
      </c>
      <c r="K38" s="82">
        <v>500930</v>
      </c>
      <c r="L38" s="86" t="s">
        <v>173</v>
      </c>
      <c r="M38" s="79"/>
      <c r="N38" s="84">
        <v>2</v>
      </c>
      <c r="O38" s="84"/>
      <c r="P38" s="80"/>
      <c r="Q38" s="84" t="s">
        <v>45</v>
      </c>
      <c r="R38" s="81"/>
    </row>
    <row r="39" spans="1:18" ht="37.15" customHeight="1">
      <c r="A39" s="90" t="s">
        <v>174</v>
      </c>
      <c r="B39" s="74" t="s">
        <v>53</v>
      </c>
      <c r="C39" s="75"/>
      <c r="D39" s="76" t="s">
        <v>39</v>
      </c>
      <c r="E39" s="77">
        <v>42997</v>
      </c>
      <c r="F39" s="77">
        <v>43028</v>
      </c>
      <c r="G39" s="74" t="s">
        <v>71</v>
      </c>
      <c r="H39" s="92" t="s">
        <v>172</v>
      </c>
      <c r="I39" s="92"/>
      <c r="J39" s="74" t="s">
        <v>56</v>
      </c>
      <c r="K39" s="74">
        <v>500869</v>
      </c>
      <c r="L39" s="78" t="s">
        <v>175</v>
      </c>
      <c r="M39" s="79"/>
      <c r="N39" s="76">
        <v>2</v>
      </c>
      <c r="O39" s="76"/>
      <c r="P39" s="80"/>
      <c r="Q39" s="76" t="s">
        <v>45</v>
      </c>
      <c r="R39" s="81"/>
    </row>
    <row r="40" spans="1:18" ht="37.15" customHeight="1">
      <c r="A40" s="82" t="s">
        <v>176</v>
      </c>
      <c r="B40" s="82" t="s">
        <v>53</v>
      </c>
      <c r="C40" s="83"/>
      <c r="D40" s="84" t="s">
        <v>39</v>
      </c>
      <c r="E40" s="85">
        <v>42998</v>
      </c>
      <c r="F40" s="85">
        <v>43028</v>
      </c>
      <c r="G40" s="82" t="s">
        <v>71</v>
      </c>
      <c r="H40" s="91" t="s">
        <v>172</v>
      </c>
      <c r="I40" s="91"/>
      <c r="J40" s="82" t="s">
        <v>56</v>
      </c>
      <c r="K40" s="82">
        <v>500949</v>
      </c>
      <c r="L40" s="86" t="s">
        <v>177</v>
      </c>
      <c r="M40" s="79"/>
      <c r="N40" s="84">
        <v>2</v>
      </c>
      <c r="O40" s="84"/>
      <c r="P40" s="80"/>
      <c r="Q40" s="84" t="s">
        <v>45</v>
      </c>
      <c r="R40" s="81"/>
    </row>
    <row r="41" spans="1:18" ht="37.15" customHeight="1">
      <c r="A41" s="90" t="s">
        <v>178</v>
      </c>
      <c r="B41" s="74" t="s">
        <v>53</v>
      </c>
      <c r="C41" s="75"/>
      <c r="D41" s="76" t="s">
        <v>39</v>
      </c>
      <c r="E41" s="77">
        <v>43011</v>
      </c>
      <c r="F41" s="77">
        <v>43072</v>
      </c>
      <c r="G41" s="74" t="s">
        <v>54</v>
      </c>
      <c r="H41" s="74" t="s">
        <v>179</v>
      </c>
      <c r="I41" s="74"/>
      <c r="J41" s="74" t="s">
        <v>102</v>
      </c>
      <c r="K41" s="74" t="s">
        <v>180</v>
      </c>
      <c r="L41" s="78" t="s">
        <v>181</v>
      </c>
      <c r="M41" s="79"/>
      <c r="N41" s="76">
        <v>2</v>
      </c>
      <c r="O41" s="76"/>
      <c r="P41" s="80"/>
      <c r="Q41" s="76" t="s">
        <v>45</v>
      </c>
      <c r="R41" s="81"/>
    </row>
    <row r="42" spans="1:18" ht="37.15" customHeight="1">
      <c r="A42" s="82" t="s">
        <v>182</v>
      </c>
      <c r="B42" s="82" t="s">
        <v>53</v>
      </c>
      <c r="C42" s="83"/>
      <c r="D42" s="84" t="s">
        <v>39</v>
      </c>
      <c r="E42" s="85">
        <v>43012</v>
      </c>
      <c r="F42" s="85">
        <v>43043</v>
      </c>
      <c r="G42" s="82" t="s">
        <v>71</v>
      </c>
      <c r="H42" s="82" t="s">
        <v>183</v>
      </c>
      <c r="I42" s="82"/>
      <c r="J42" s="82" t="s">
        <v>56</v>
      </c>
      <c r="K42" s="82" t="s">
        <v>184</v>
      </c>
      <c r="L42" s="86" t="s">
        <v>185</v>
      </c>
      <c r="M42" s="79"/>
      <c r="N42" s="84">
        <v>1</v>
      </c>
      <c r="O42" s="84"/>
      <c r="P42" s="80"/>
      <c r="Q42" s="84" t="s">
        <v>45</v>
      </c>
      <c r="R42" s="81"/>
    </row>
    <row r="43" spans="1:18" ht="37.15" hidden="1" customHeight="1">
      <c r="A43" s="90" t="s">
        <v>186</v>
      </c>
      <c r="B43" s="74" t="s">
        <v>38</v>
      </c>
      <c r="C43" s="75"/>
      <c r="D43" s="76" t="s">
        <v>117</v>
      </c>
      <c r="E43" s="77">
        <v>43012</v>
      </c>
      <c r="F43" s="77">
        <v>43070</v>
      </c>
      <c r="G43" s="74" t="s">
        <v>71</v>
      </c>
      <c r="H43" s="74" t="s">
        <v>119</v>
      </c>
      <c r="I43" s="74"/>
      <c r="J43" s="74" t="s">
        <v>56</v>
      </c>
      <c r="K43" s="74" t="s">
        <v>42</v>
      </c>
      <c r="L43" s="78" t="s">
        <v>187</v>
      </c>
      <c r="M43" s="79"/>
      <c r="N43" s="76">
        <v>1</v>
      </c>
      <c r="O43" s="76"/>
      <c r="P43" s="80"/>
      <c r="Q43" s="76" t="s">
        <v>45</v>
      </c>
      <c r="R43" s="81"/>
    </row>
    <row r="44" spans="1:18" ht="37.15" customHeight="1">
      <c r="A44" s="89" t="s">
        <v>188</v>
      </c>
      <c r="B44" s="82" t="s">
        <v>53</v>
      </c>
      <c r="C44" s="83"/>
      <c r="D44" s="84" t="s">
        <v>39</v>
      </c>
      <c r="E44" s="85">
        <v>43034</v>
      </c>
      <c r="F44" s="85">
        <v>43065</v>
      </c>
      <c r="G44" s="82" t="s">
        <v>71</v>
      </c>
      <c r="H44" s="82" t="s">
        <v>189</v>
      </c>
      <c r="I44" s="82"/>
      <c r="J44" s="82" t="s">
        <v>56</v>
      </c>
      <c r="K44" s="82" t="s">
        <v>190</v>
      </c>
      <c r="L44" s="86" t="s">
        <v>191</v>
      </c>
      <c r="M44" s="79"/>
      <c r="N44" s="84">
        <v>1</v>
      </c>
      <c r="O44" s="84"/>
      <c r="P44" s="80"/>
      <c r="Q44" s="84" t="s">
        <v>45</v>
      </c>
      <c r="R44" s="81"/>
    </row>
    <row r="45" spans="1:18" ht="37.15" hidden="1" customHeight="1">
      <c r="A45" s="90" t="s">
        <v>192</v>
      </c>
      <c r="B45" s="74" t="s">
        <v>38</v>
      </c>
      <c r="C45" s="75"/>
      <c r="D45" s="76" t="s">
        <v>39</v>
      </c>
      <c r="E45" s="77">
        <v>43042</v>
      </c>
      <c r="F45" s="77">
        <v>43072</v>
      </c>
      <c r="G45" s="74" t="s">
        <v>71</v>
      </c>
      <c r="H45" s="74" t="s">
        <v>193</v>
      </c>
      <c r="I45" s="74"/>
      <c r="J45" s="74" t="s">
        <v>56</v>
      </c>
      <c r="K45" s="74" t="s">
        <v>194</v>
      </c>
      <c r="L45" s="78" t="s">
        <v>195</v>
      </c>
      <c r="M45" s="79"/>
      <c r="N45" s="76">
        <v>2</v>
      </c>
      <c r="O45" s="76"/>
      <c r="P45" s="80"/>
      <c r="Q45" s="76" t="s">
        <v>45</v>
      </c>
      <c r="R45" s="81"/>
    </row>
    <row r="46" spans="1:18" ht="37.15" hidden="1" customHeight="1">
      <c r="A46" s="89" t="s">
        <v>196</v>
      </c>
      <c r="B46" s="82" t="s">
        <v>38</v>
      </c>
      <c r="C46" s="83"/>
      <c r="D46" s="84" t="s">
        <v>39</v>
      </c>
      <c r="E46" s="85">
        <v>43042</v>
      </c>
      <c r="F46" s="85">
        <v>43072</v>
      </c>
      <c r="G46" s="82" t="s">
        <v>71</v>
      </c>
      <c r="H46" s="82" t="s">
        <v>193</v>
      </c>
      <c r="I46" s="82"/>
      <c r="J46" s="82" t="s">
        <v>56</v>
      </c>
      <c r="K46" s="82" t="s">
        <v>197</v>
      </c>
      <c r="L46" s="86" t="s">
        <v>198</v>
      </c>
      <c r="M46" s="79"/>
      <c r="N46" s="84">
        <v>2</v>
      </c>
      <c r="O46" s="84"/>
      <c r="P46" s="80"/>
      <c r="Q46" s="84" t="s">
        <v>45</v>
      </c>
      <c r="R46" s="81"/>
    </row>
    <row r="47" spans="1:18" ht="37.15" hidden="1" customHeight="1">
      <c r="A47" s="90" t="s">
        <v>199</v>
      </c>
      <c r="B47" s="74" t="s">
        <v>38</v>
      </c>
      <c r="C47" s="75"/>
      <c r="D47" s="76" t="s">
        <v>39</v>
      </c>
      <c r="E47" s="77">
        <v>43054</v>
      </c>
      <c r="F47" s="77">
        <v>43084</v>
      </c>
      <c r="G47" s="74" t="s">
        <v>71</v>
      </c>
      <c r="H47" s="74" t="s">
        <v>200</v>
      </c>
      <c r="I47" s="74"/>
      <c r="J47" s="74" t="s">
        <v>201</v>
      </c>
      <c r="K47" s="74" t="s">
        <v>42</v>
      </c>
      <c r="L47" s="78" t="s">
        <v>202</v>
      </c>
      <c r="M47" s="79"/>
      <c r="N47" s="76">
        <v>1</v>
      </c>
      <c r="O47" s="76"/>
      <c r="P47" s="80"/>
      <c r="Q47" s="76" t="s">
        <v>45</v>
      </c>
      <c r="R47" s="81"/>
    </row>
    <row r="48" spans="1:18" ht="37.15" customHeight="1">
      <c r="A48" s="89" t="s">
        <v>203</v>
      </c>
      <c r="B48" s="82" t="s">
        <v>53</v>
      </c>
      <c r="C48" s="83"/>
      <c r="D48" s="84" t="s">
        <v>39</v>
      </c>
      <c r="E48" s="85">
        <v>43056</v>
      </c>
      <c r="F48" s="85">
        <v>43086</v>
      </c>
      <c r="G48" s="82" t="s">
        <v>60</v>
      </c>
      <c r="H48" s="82" t="s">
        <v>204</v>
      </c>
      <c r="I48" s="82"/>
      <c r="J48" s="82" t="s">
        <v>102</v>
      </c>
      <c r="K48" s="82" t="s">
        <v>42</v>
      </c>
      <c r="L48" s="86" t="s">
        <v>205</v>
      </c>
      <c r="M48" s="79"/>
      <c r="N48" s="84">
        <v>1</v>
      </c>
      <c r="O48" s="84"/>
      <c r="P48" s="80"/>
      <c r="Q48" s="84" t="s">
        <v>45</v>
      </c>
      <c r="R48" s="81"/>
    </row>
    <row r="49" spans="1:18" ht="37.15" customHeight="1">
      <c r="A49" s="90" t="s">
        <v>206</v>
      </c>
      <c r="B49" s="74" t="s">
        <v>53</v>
      </c>
      <c r="C49" s="75"/>
      <c r="D49" s="76" t="s">
        <v>39</v>
      </c>
      <c r="E49" s="77">
        <v>43056</v>
      </c>
      <c r="F49" s="77">
        <v>43086</v>
      </c>
      <c r="G49" s="74" t="s">
        <v>60</v>
      </c>
      <c r="H49" s="74" t="s">
        <v>204</v>
      </c>
      <c r="I49" s="74"/>
      <c r="J49" s="74" t="s">
        <v>207</v>
      </c>
      <c r="K49" s="74" t="s">
        <v>42</v>
      </c>
      <c r="L49" s="78" t="s">
        <v>208</v>
      </c>
      <c r="M49" s="79"/>
      <c r="N49" s="76">
        <v>1</v>
      </c>
      <c r="O49" s="76"/>
      <c r="P49" s="80"/>
      <c r="Q49" s="76" t="s">
        <v>45</v>
      </c>
      <c r="R49" s="81"/>
    </row>
    <row r="50" spans="1:18" ht="37.15" customHeight="1">
      <c r="A50" s="89" t="s">
        <v>209</v>
      </c>
      <c r="B50" s="82" t="s">
        <v>53</v>
      </c>
      <c r="C50" s="83"/>
      <c r="D50" s="84" t="s">
        <v>39</v>
      </c>
      <c r="E50" s="85">
        <v>43067</v>
      </c>
      <c r="F50" s="85">
        <v>43159</v>
      </c>
      <c r="G50" s="82" t="s">
        <v>71</v>
      </c>
      <c r="H50" s="82" t="s">
        <v>210</v>
      </c>
      <c r="I50" s="82"/>
      <c r="J50" s="82" t="s">
        <v>102</v>
      </c>
      <c r="K50" s="82" t="s">
        <v>211</v>
      </c>
      <c r="L50" s="86" t="s">
        <v>212</v>
      </c>
      <c r="M50" s="79"/>
      <c r="N50" s="84">
        <v>1</v>
      </c>
      <c r="O50" s="84"/>
      <c r="P50" s="80"/>
      <c r="Q50" s="84" t="s">
        <v>45</v>
      </c>
      <c r="R50" s="81"/>
    </row>
    <row r="51" spans="1:18" ht="37.15" customHeight="1">
      <c r="A51" s="90" t="s">
        <v>213</v>
      </c>
      <c r="B51" s="74" t="s">
        <v>53</v>
      </c>
      <c r="C51" s="75"/>
      <c r="D51" s="76" t="s">
        <v>39</v>
      </c>
      <c r="E51" s="77">
        <v>43077</v>
      </c>
      <c r="F51" s="77">
        <v>43139</v>
      </c>
      <c r="G51" s="74" t="s">
        <v>71</v>
      </c>
      <c r="H51" s="74" t="s">
        <v>214</v>
      </c>
      <c r="I51" s="74"/>
      <c r="J51" s="74" t="s">
        <v>56</v>
      </c>
      <c r="K51" s="74" t="s">
        <v>215</v>
      </c>
      <c r="L51" s="78" t="s">
        <v>216</v>
      </c>
      <c r="M51" s="79"/>
      <c r="N51" s="76">
        <v>1</v>
      </c>
      <c r="O51" s="76"/>
      <c r="P51" s="80"/>
      <c r="Q51" s="76" t="s">
        <v>45</v>
      </c>
      <c r="R51" s="81"/>
    </row>
    <row r="52" spans="1:18" ht="37.15" customHeight="1">
      <c r="A52" s="89" t="s">
        <v>217</v>
      </c>
      <c r="B52" s="82" t="s">
        <v>53</v>
      </c>
      <c r="C52" s="83"/>
      <c r="D52" s="84" t="s">
        <v>39</v>
      </c>
      <c r="E52" s="85">
        <v>43146</v>
      </c>
      <c r="F52" s="85">
        <v>43205</v>
      </c>
      <c r="G52" s="82" t="s">
        <v>71</v>
      </c>
      <c r="H52" s="84" t="s">
        <v>118</v>
      </c>
      <c r="I52" s="84"/>
      <c r="J52" s="82" t="s">
        <v>119</v>
      </c>
      <c r="K52" s="82" t="s">
        <v>218</v>
      </c>
      <c r="L52" s="86" t="s">
        <v>219</v>
      </c>
      <c r="M52" s="79"/>
      <c r="N52" s="84">
        <v>1</v>
      </c>
      <c r="O52" s="84"/>
      <c r="P52" s="80"/>
      <c r="Q52" s="84" t="s">
        <v>45</v>
      </c>
      <c r="R52" s="81"/>
    </row>
    <row r="53" spans="1:18" ht="37.15" customHeight="1">
      <c r="A53" s="90" t="s">
        <v>220</v>
      </c>
      <c r="B53" s="74" t="s">
        <v>53</v>
      </c>
      <c r="C53" s="75"/>
      <c r="D53" s="76" t="s">
        <v>39</v>
      </c>
      <c r="E53" s="77">
        <v>43172</v>
      </c>
      <c r="F53" s="77">
        <v>43233</v>
      </c>
      <c r="G53" s="74" t="s">
        <v>71</v>
      </c>
      <c r="H53" s="74" t="s">
        <v>221</v>
      </c>
      <c r="I53" s="74"/>
      <c r="J53" s="74" t="s">
        <v>56</v>
      </c>
      <c r="K53" s="74">
        <v>951487</v>
      </c>
      <c r="L53" s="78" t="s">
        <v>222</v>
      </c>
      <c r="M53" s="79"/>
      <c r="N53" s="76">
        <v>2</v>
      </c>
      <c r="O53" s="76"/>
      <c r="P53" s="80"/>
      <c r="Q53" s="76" t="s">
        <v>45</v>
      </c>
      <c r="R53" s="81"/>
    </row>
    <row r="54" spans="1:18" ht="37.15" customHeight="1">
      <c r="A54" s="82" t="s">
        <v>223</v>
      </c>
      <c r="B54" s="82" t="s">
        <v>53</v>
      </c>
      <c r="C54" s="83"/>
      <c r="D54" s="84" t="s">
        <v>39</v>
      </c>
      <c r="E54" s="85">
        <v>43175</v>
      </c>
      <c r="F54" s="85">
        <v>43206</v>
      </c>
      <c r="G54" s="82" t="s">
        <v>71</v>
      </c>
      <c r="H54" s="82" t="s">
        <v>224</v>
      </c>
      <c r="I54" s="82"/>
      <c r="J54" s="82" t="s">
        <v>56</v>
      </c>
      <c r="K54" s="82">
        <v>501912</v>
      </c>
      <c r="L54" s="86" t="s">
        <v>225</v>
      </c>
      <c r="M54" s="79"/>
      <c r="N54" s="84">
        <v>3</v>
      </c>
      <c r="O54" s="84"/>
      <c r="P54" s="80"/>
      <c r="Q54" s="84" t="s">
        <v>45</v>
      </c>
      <c r="R54" s="81"/>
    </row>
    <row r="55" spans="1:18" ht="37.15" customHeight="1">
      <c r="A55" s="90" t="s">
        <v>226</v>
      </c>
      <c r="B55" s="74" t="s">
        <v>53</v>
      </c>
      <c r="C55" s="75"/>
      <c r="D55" s="76" t="s">
        <v>39</v>
      </c>
      <c r="E55" s="77">
        <v>43175</v>
      </c>
      <c r="F55" s="77">
        <v>43206</v>
      </c>
      <c r="G55" s="74" t="s">
        <v>71</v>
      </c>
      <c r="H55" s="74" t="s">
        <v>227</v>
      </c>
      <c r="I55" s="74"/>
      <c r="J55" s="74" t="s">
        <v>228</v>
      </c>
      <c r="K55" s="74">
        <v>888556</v>
      </c>
      <c r="L55" s="78" t="s">
        <v>229</v>
      </c>
      <c r="M55" s="79"/>
      <c r="N55" s="76">
        <v>2</v>
      </c>
      <c r="O55" s="76"/>
      <c r="P55" s="80"/>
      <c r="Q55" s="76" t="s">
        <v>45</v>
      </c>
      <c r="R55" s="81"/>
    </row>
    <row r="56" spans="1:18" ht="37.15" customHeight="1">
      <c r="A56" s="89" t="s">
        <v>230</v>
      </c>
      <c r="B56" s="82" t="s">
        <v>53</v>
      </c>
      <c r="C56" s="83"/>
      <c r="D56" s="84" t="s">
        <v>39</v>
      </c>
      <c r="E56" s="85">
        <v>43180</v>
      </c>
      <c r="F56" s="85">
        <v>43211</v>
      </c>
      <c r="G56" s="82" t="s">
        <v>71</v>
      </c>
      <c r="H56" s="82" t="s">
        <v>231</v>
      </c>
      <c r="I56" s="82"/>
      <c r="J56" s="82" t="s">
        <v>56</v>
      </c>
      <c r="K56" s="82">
        <v>501946</v>
      </c>
      <c r="L56" s="86" t="s">
        <v>232</v>
      </c>
      <c r="M56" s="79"/>
      <c r="N56" s="84">
        <v>2</v>
      </c>
      <c r="O56" s="84"/>
      <c r="P56" s="80"/>
      <c r="Q56" s="84" t="s">
        <v>45</v>
      </c>
      <c r="R56" s="81"/>
    </row>
    <row r="57" spans="1:18" ht="37.15" customHeight="1">
      <c r="A57" s="90" t="s">
        <v>233</v>
      </c>
      <c r="B57" s="74" t="s">
        <v>53</v>
      </c>
      <c r="C57" s="75"/>
      <c r="D57" s="76" t="s">
        <v>39</v>
      </c>
      <c r="E57" s="77">
        <v>43187</v>
      </c>
      <c r="F57" s="77">
        <v>43218</v>
      </c>
      <c r="G57" s="74" t="s">
        <v>71</v>
      </c>
      <c r="H57" s="92" t="s">
        <v>234</v>
      </c>
      <c r="I57" s="92"/>
      <c r="J57" s="74" t="s">
        <v>56</v>
      </c>
      <c r="K57" s="74">
        <v>501986</v>
      </c>
      <c r="L57" s="78" t="s">
        <v>235</v>
      </c>
      <c r="M57" s="79"/>
      <c r="N57" s="76">
        <v>2</v>
      </c>
      <c r="O57" s="76"/>
      <c r="P57" s="80"/>
      <c r="Q57" s="76" t="s">
        <v>45</v>
      </c>
      <c r="R57" s="81"/>
    </row>
    <row r="58" spans="1:18" ht="37.15" customHeight="1">
      <c r="A58" s="89" t="s">
        <v>236</v>
      </c>
      <c r="B58" s="82" t="s">
        <v>53</v>
      </c>
      <c r="C58" s="83"/>
      <c r="D58" s="84" t="s">
        <v>39</v>
      </c>
      <c r="E58" s="85">
        <v>43188</v>
      </c>
      <c r="F58" s="85">
        <v>43219</v>
      </c>
      <c r="G58" s="82" t="s">
        <v>71</v>
      </c>
      <c r="H58" s="82" t="s">
        <v>237</v>
      </c>
      <c r="I58" s="82"/>
      <c r="J58" s="82" t="s">
        <v>56</v>
      </c>
      <c r="K58" s="82"/>
      <c r="L58" s="86" t="s">
        <v>238</v>
      </c>
      <c r="M58" s="79"/>
      <c r="N58" s="84">
        <v>3</v>
      </c>
      <c r="O58" s="84"/>
      <c r="P58" s="80"/>
      <c r="Q58" s="84" t="s">
        <v>45</v>
      </c>
      <c r="R58" s="81"/>
    </row>
    <row r="59" spans="1:18" ht="37.15" customHeight="1">
      <c r="A59" s="90" t="s">
        <v>239</v>
      </c>
      <c r="B59" s="74" t="s">
        <v>53</v>
      </c>
      <c r="C59" s="75"/>
      <c r="D59" s="76" t="s">
        <v>39</v>
      </c>
      <c r="E59" s="77">
        <v>43195</v>
      </c>
      <c r="F59" s="77">
        <v>43256</v>
      </c>
      <c r="G59" s="74" t="s">
        <v>71</v>
      </c>
      <c r="H59" s="74" t="s">
        <v>237</v>
      </c>
      <c r="I59" s="74"/>
      <c r="J59" s="74" t="s">
        <v>56</v>
      </c>
      <c r="K59" s="74"/>
      <c r="L59" s="78" t="s">
        <v>240</v>
      </c>
      <c r="M59" s="79"/>
      <c r="N59" s="76">
        <v>3</v>
      </c>
      <c r="O59" s="76"/>
      <c r="P59" s="80"/>
      <c r="Q59" s="76" t="s">
        <v>45</v>
      </c>
      <c r="R59" s="81"/>
    </row>
    <row r="60" spans="1:18" ht="37.15" customHeight="1">
      <c r="A60" s="89" t="s">
        <v>241</v>
      </c>
      <c r="B60" s="82" t="s">
        <v>53</v>
      </c>
      <c r="C60" s="83"/>
      <c r="D60" s="84" t="s">
        <v>39</v>
      </c>
      <c r="E60" s="85">
        <v>43195</v>
      </c>
      <c r="F60" s="85">
        <v>43225</v>
      </c>
      <c r="G60" s="82" t="s">
        <v>71</v>
      </c>
      <c r="H60" s="82" t="s">
        <v>242</v>
      </c>
      <c r="I60" s="82"/>
      <c r="J60" s="82" t="s">
        <v>56</v>
      </c>
      <c r="K60" s="82">
        <v>502015</v>
      </c>
      <c r="L60" s="86" t="s">
        <v>243</v>
      </c>
      <c r="M60" s="79"/>
      <c r="N60" s="84">
        <v>2</v>
      </c>
      <c r="O60" s="84"/>
      <c r="P60" s="80"/>
      <c r="Q60" s="84" t="s">
        <v>45</v>
      </c>
      <c r="R60" s="81"/>
    </row>
    <row r="61" spans="1:18" ht="37.15" customHeight="1">
      <c r="A61" s="90" t="s">
        <v>244</v>
      </c>
      <c r="B61" s="74" t="s">
        <v>53</v>
      </c>
      <c r="C61" s="75"/>
      <c r="D61" s="76" t="s">
        <v>39</v>
      </c>
      <c r="E61" s="77">
        <v>43199</v>
      </c>
      <c r="F61" s="77">
        <v>43229</v>
      </c>
      <c r="G61" s="74" t="s">
        <v>71</v>
      </c>
      <c r="H61" s="92" t="s">
        <v>245</v>
      </c>
      <c r="I61" s="92"/>
      <c r="J61" s="74" t="s">
        <v>56</v>
      </c>
      <c r="K61" s="74">
        <v>951538</v>
      </c>
      <c r="L61" s="78" t="s">
        <v>246</v>
      </c>
      <c r="M61" s="79"/>
      <c r="N61" s="76">
        <v>3</v>
      </c>
      <c r="O61" s="76"/>
      <c r="P61" s="80"/>
      <c r="Q61" s="76" t="s">
        <v>45</v>
      </c>
      <c r="R61" s="81"/>
    </row>
    <row r="62" spans="1:18" ht="37.15" customHeight="1">
      <c r="A62" s="89" t="s">
        <v>247</v>
      </c>
      <c r="B62" s="82" t="s">
        <v>53</v>
      </c>
      <c r="C62" s="83"/>
      <c r="D62" s="84" t="s">
        <v>39</v>
      </c>
      <c r="E62" s="85">
        <v>43200</v>
      </c>
      <c r="F62" s="85">
        <v>43353</v>
      </c>
      <c r="G62" s="82" t="s">
        <v>71</v>
      </c>
      <c r="H62" s="82" t="s">
        <v>248</v>
      </c>
      <c r="I62" s="82"/>
      <c r="J62" s="82" t="s">
        <v>56</v>
      </c>
      <c r="K62" s="82" t="s">
        <v>249</v>
      </c>
      <c r="L62" s="86" t="s">
        <v>250</v>
      </c>
      <c r="M62" s="79"/>
      <c r="N62" s="84">
        <v>2</v>
      </c>
      <c r="O62" s="84"/>
      <c r="P62" s="80"/>
      <c r="Q62" s="84" t="s">
        <v>45</v>
      </c>
      <c r="R62" s="81"/>
    </row>
    <row r="63" spans="1:18" ht="37.15" customHeight="1">
      <c r="A63" s="90" t="s">
        <v>251</v>
      </c>
      <c r="B63" s="74" t="s">
        <v>53</v>
      </c>
      <c r="C63" s="75"/>
      <c r="D63" s="76" t="s">
        <v>39</v>
      </c>
      <c r="E63" s="77">
        <v>43206</v>
      </c>
      <c r="F63" s="77">
        <v>43359</v>
      </c>
      <c r="G63" s="74" t="s">
        <v>71</v>
      </c>
      <c r="H63" s="74" t="s">
        <v>252</v>
      </c>
      <c r="I63" s="74"/>
      <c r="J63" s="74" t="s">
        <v>253</v>
      </c>
      <c r="K63" s="74" t="s">
        <v>249</v>
      </c>
      <c r="L63" s="78" t="s">
        <v>254</v>
      </c>
      <c r="M63" s="79"/>
      <c r="N63" s="76">
        <v>2</v>
      </c>
      <c r="O63" s="76"/>
      <c r="P63" s="80"/>
      <c r="Q63" s="76" t="s">
        <v>45</v>
      </c>
      <c r="R63" s="81"/>
    </row>
    <row r="64" spans="1:18" ht="37.15" customHeight="1">
      <c r="A64" s="89" t="s">
        <v>255</v>
      </c>
      <c r="B64" s="82" t="s">
        <v>53</v>
      </c>
      <c r="C64" s="83"/>
      <c r="D64" s="84" t="s">
        <v>39</v>
      </c>
      <c r="E64" s="85">
        <v>43208</v>
      </c>
      <c r="F64" s="85">
        <v>43238</v>
      </c>
      <c r="G64" s="82" t="s">
        <v>71</v>
      </c>
      <c r="H64" s="82" t="s">
        <v>256</v>
      </c>
      <c r="I64" s="82"/>
      <c r="J64" s="82" t="s">
        <v>56</v>
      </c>
      <c r="K64" s="82">
        <v>951552</v>
      </c>
      <c r="L64" s="86" t="s">
        <v>257</v>
      </c>
      <c r="M64" s="79"/>
      <c r="N64" s="84">
        <v>3</v>
      </c>
      <c r="O64" s="84"/>
      <c r="P64" s="80"/>
      <c r="Q64" s="84" t="s">
        <v>45</v>
      </c>
      <c r="R64" s="81"/>
    </row>
    <row r="65" spans="1:18" ht="37.15" customHeight="1">
      <c r="A65" s="90" t="s">
        <v>258</v>
      </c>
      <c r="B65" s="74" t="s">
        <v>53</v>
      </c>
      <c r="C65" s="75"/>
      <c r="D65" s="76" t="s">
        <v>39</v>
      </c>
      <c r="E65" s="77">
        <v>43208</v>
      </c>
      <c r="F65" s="77">
        <v>43238</v>
      </c>
      <c r="G65" s="74" t="s">
        <v>71</v>
      </c>
      <c r="H65" s="74" t="s">
        <v>224</v>
      </c>
      <c r="I65" s="74"/>
      <c r="J65" s="74" t="s">
        <v>56</v>
      </c>
      <c r="K65" s="74">
        <v>888622</v>
      </c>
      <c r="L65" s="78" t="s">
        <v>259</v>
      </c>
      <c r="M65" s="79"/>
      <c r="N65" s="76">
        <v>3</v>
      </c>
      <c r="O65" s="76"/>
      <c r="P65" s="80"/>
      <c r="Q65" s="76" t="s">
        <v>45</v>
      </c>
      <c r="R65" s="81"/>
    </row>
    <row r="66" spans="1:18" ht="37.15" customHeight="1">
      <c r="A66" s="89" t="s">
        <v>260</v>
      </c>
      <c r="B66" s="82" t="s">
        <v>53</v>
      </c>
      <c r="C66" s="83"/>
      <c r="D66" s="84" t="s">
        <v>39</v>
      </c>
      <c r="E66" s="85">
        <v>43221</v>
      </c>
      <c r="F66" s="85">
        <v>43252</v>
      </c>
      <c r="G66" s="82" t="s">
        <v>71</v>
      </c>
      <c r="H66" s="82" t="s">
        <v>224</v>
      </c>
      <c r="I66" s="82"/>
      <c r="J66" s="82" t="s">
        <v>228</v>
      </c>
      <c r="K66" s="82">
        <v>951545</v>
      </c>
      <c r="L66" s="86" t="s">
        <v>261</v>
      </c>
      <c r="M66" s="79"/>
      <c r="N66" s="84">
        <v>3</v>
      </c>
      <c r="O66" s="84"/>
      <c r="P66" s="80"/>
      <c r="Q66" s="84" t="s">
        <v>45</v>
      </c>
      <c r="R66" s="81"/>
    </row>
    <row r="67" spans="1:18" ht="37.15" customHeight="1">
      <c r="A67" s="90" t="s">
        <v>262</v>
      </c>
      <c r="B67" s="74" t="s">
        <v>53</v>
      </c>
      <c r="C67" s="75"/>
      <c r="D67" s="76" t="s">
        <v>39</v>
      </c>
      <c r="E67" s="77">
        <v>43221</v>
      </c>
      <c r="F67" s="77">
        <v>43252</v>
      </c>
      <c r="G67" s="74" t="s">
        <v>71</v>
      </c>
      <c r="H67" s="92" t="s">
        <v>263</v>
      </c>
      <c r="I67" s="92"/>
      <c r="J67" s="74" t="s">
        <v>56</v>
      </c>
      <c r="K67" s="74">
        <v>502075</v>
      </c>
      <c r="L67" s="78" t="s">
        <v>264</v>
      </c>
      <c r="M67" s="79"/>
      <c r="N67" s="76">
        <v>1</v>
      </c>
      <c r="O67" s="76"/>
      <c r="P67" s="80"/>
      <c r="Q67" s="76" t="s">
        <v>45</v>
      </c>
      <c r="R67" s="81"/>
    </row>
    <row r="68" spans="1:18" ht="37.15" customHeight="1">
      <c r="A68" s="89" t="s">
        <v>265</v>
      </c>
      <c r="B68" s="82" t="s">
        <v>53</v>
      </c>
      <c r="C68" s="83"/>
      <c r="D68" s="84" t="s">
        <v>39</v>
      </c>
      <c r="E68" s="85">
        <v>43221</v>
      </c>
      <c r="F68" s="85">
        <v>43252</v>
      </c>
      <c r="G68" s="82" t="s">
        <v>71</v>
      </c>
      <c r="H68" s="91" t="s">
        <v>234</v>
      </c>
      <c r="I68" s="91"/>
      <c r="J68" s="82" t="s">
        <v>56</v>
      </c>
      <c r="K68" s="82">
        <v>502108</v>
      </c>
      <c r="L68" s="86" t="s">
        <v>266</v>
      </c>
      <c r="M68" s="79"/>
      <c r="N68" s="84">
        <v>1</v>
      </c>
      <c r="O68" s="84"/>
      <c r="P68" s="80"/>
      <c r="Q68" s="84" t="s">
        <v>45</v>
      </c>
      <c r="R68" s="81"/>
    </row>
    <row r="69" spans="1:18" ht="37.15" customHeight="1">
      <c r="A69" s="90" t="s">
        <v>267</v>
      </c>
      <c r="B69" s="74" t="s">
        <v>53</v>
      </c>
      <c r="C69" s="75"/>
      <c r="D69" s="76" t="s">
        <v>39</v>
      </c>
      <c r="E69" s="77">
        <v>43235</v>
      </c>
      <c r="F69" s="77">
        <v>43266</v>
      </c>
      <c r="G69" s="74" t="s">
        <v>71</v>
      </c>
      <c r="H69" s="92" t="s">
        <v>224</v>
      </c>
      <c r="I69" s="92"/>
      <c r="J69" s="74" t="s">
        <v>56</v>
      </c>
      <c r="K69" s="74">
        <v>502304</v>
      </c>
      <c r="L69" s="78" t="s">
        <v>268</v>
      </c>
      <c r="M69" s="79"/>
      <c r="N69" s="76">
        <v>2</v>
      </c>
      <c r="O69" s="76"/>
      <c r="P69" s="80"/>
      <c r="Q69" s="76" t="s">
        <v>45</v>
      </c>
      <c r="R69" s="81"/>
    </row>
    <row r="70" spans="1:18" ht="37.15" customHeight="1">
      <c r="A70" s="89" t="s">
        <v>269</v>
      </c>
      <c r="B70" s="82" t="s">
        <v>53</v>
      </c>
      <c r="C70" s="83"/>
      <c r="D70" s="84" t="s">
        <v>39</v>
      </c>
      <c r="E70" s="85">
        <v>43242</v>
      </c>
      <c r="F70" s="85">
        <v>43273</v>
      </c>
      <c r="G70" s="82" t="s">
        <v>71</v>
      </c>
      <c r="H70" s="82" t="s">
        <v>270</v>
      </c>
      <c r="I70" s="82"/>
      <c r="J70" s="82" t="s">
        <v>56</v>
      </c>
      <c r="K70" s="82">
        <v>502352</v>
      </c>
      <c r="L70" s="93" t="s">
        <v>271</v>
      </c>
      <c r="M70" s="94"/>
      <c r="N70" s="84">
        <v>2</v>
      </c>
      <c r="O70" s="84"/>
      <c r="P70" s="80"/>
      <c r="Q70" s="84" t="s">
        <v>45</v>
      </c>
      <c r="R70" s="81"/>
    </row>
    <row r="71" spans="1:18" ht="37.15" hidden="1" customHeight="1">
      <c r="A71" s="90" t="s">
        <v>272</v>
      </c>
      <c r="B71" s="74" t="s">
        <v>47</v>
      </c>
      <c r="C71" s="75"/>
      <c r="D71" s="76" t="s">
        <v>39</v>
      </c>
      <c r="E71" s="77">
        <v>43237</v>
      </c>
      <c r="F71" s="77">
        <v>43298</v>
      </c>
      <c r="G71" s="74" t="s">
        <v>71</v>
      </c>
      <c r="H71" s="74" t="s">
        <v>273</v>
      </c>
      <c r="I71" s="74"/>
      <c r="J71" s="74" t="s">
        <v>56</v>
      </c>
      <c r="K71" s="74" t="s">
        <v>274</v>
      </c>
      <c r="L71" s="78" t="s">
        <v>275</v>
      </c>
      <c r="M71" s="79"/>
      <c r="N71" s="76">
        <v>1</v>
      </c>
      <c r="O71" s="76"/>
      <c r="P71" s="80"/>
      <c r="Q71" s="76" t="s">
        <v>45</v>
      </c>
      <c r="R71" s="81"/>
    </row>
    <row r="72" spans="1:18" ht="37.15" customHeight="1">
      <c r="A72" s="89" t="s">
        <v>276</v>
      </c>
      <c r="B72" s="82" t="s">
        <v>53</v>
      </c>
      <c r="C72" s="83"/>
      <c r="D72" s="84" t="s">
        <v>39</v>
      </c>
      <c r="E72" s="85">
        <v>43260</v>
      </c>
      <c r="F72" s="85">
        <v>43290</v>
      </c>
      <c r="G72" s="82" t="s">
        <v>71</v>
      </c>
      <c r="H72" s="91" t="s">
        <v>234</v>
      </c>
      <c r="I72" s="91"/>
      <c r="J72" s="82" t="s">
        <v>56</v>
      </c>
      <c r="K72" s="82"/>
      <c r="L72" s="86" t="s">
        <v>277</v>
      </c>
      <c r="M72" s="79"/>
      <c r="N72" s="84">
        <v>2</v>
      </c>
      <c r="O72" s="84"/>
      <c r="P72" s="80"/>
      <c r="Q72" s="84" t="s">
        <v>45</v>
      </c>
      <c r="R72" s="81"/>
    </row>
    <row r="73" spans="1:18" ht="37.15" hidden="1" customHeight="1">
      <c r="A73" s="90" t="s">
        <v>278</v>
      </c>
      <c r="B73" s="74" t="s">
        <v>47</v>
      </c>
      <c r="C73" s="75"/>
      <c r="D73" s="76" t="s">
        <v>39</v>
      </c>
      <c r="E73" s="77">
        <v>43265</v>
      </c>
      <c r="F73" s="77">
        <v>43326</v>
      </c>
      <c r="G73" s="74" t="s">
        <v>279</v>
      </c>
      <c r="H73" s="74" t="s">
        <v>280</v>
      </c>
      <c r="I73" s="74"/>
      <c r="J73" s="74" t="s">
        <v>56</v>
      </c>
      <c r="K73" s="74" t="s">
        <v>281</v>
      </c>
      <c r="L73" s="78" t="s">
        <v>282</v>
      </c>
      <c r="M73" s="79"/>
      <c r="N73" s="76">
        <v>2</v>
      </c>
      <c r="O73" s="76"/>
      <c r="P73" s="80"/>
      <c r="Q73" s="76" t="s">
        <v>45</v>
      </c>
      <c r="R73" s="81"/>
    </row>
    <row r="74" spans="1:18" ht="37.15" customHeight="1">
      <c r="A74" s="89" t="s">
        <v>283</v>
      </c>
      <c r="B74" s="82" t="s">
        <v>53</v>
      </c>
      <c r="C74" s="83"/>
      <c r="D74" s="84" t="s">
        <v>39</v>
      </c>
      <c r="E74" s="85">
        <v>43276</v>
      </c>
      <c r="F74" s="85">
        <v>43337</v>
      </c>
      <c r="G74" s="82" t="s">
        <v>252</v>
      </c>
      <c r="H74" s="82" t="s">
        <v>252</v>
      </c>
      <c r="I74" s="82"/>
      <c r="J74" s="82" t="s">
        <v>56</v>
      </c>
      <c r="K74" s="82" t="s">
        <v>284</v>
      </c>
      <c r="L74" s="86" t="s">
        <v>285</v>
      </c>
      <c r="M74" s="79"/>
      <c r="N74" s="84">
        <v>2</v>
      </c>
      <c r="O74" s="84"/>
      <c r="P74" s="80"/>
      <c r="Q74" s="84" t="s">
        <v>45</v>
      </c>
      <c r="R74" s="81"/>
    </row>
    <row r="75" spans="1:18" ht="37.15" customHeight="1">
      <c r="A75" s="90" t="s">
        <v>286</v>
      </c>
      <c r="B75" s="74" t="s">
        <v>53</v>
      </c>
      <c r="C75" s="75"/>
      <c r="D75" s="76" t="s">
        <v>39</v>
      </c>
      <c r="E75" s="77">
        <v>43298</v>
      </c>
      <c r="F75" s="77">
        <v>43360</v>
      </c>
      <c r="G75" s="74" t="s">
        <v>71</v>
      </c>
      <c r="H75" s="74" t="s">
        <v>287</v>
      </c>
      <c r="I75" s="74"/>
      <c r="J75" s="74" t="s">
        <v>56</v>
      </c>
      <c r="K75" s="74" t="s">
        <v>288</v>
      </c>
      <c r="L75" s="78" t="s">
        <v>289</v>
      </c>
      <c r="M75" s="79"/>
      <c r="N75" s="76">
        <v>3</v>
      </c>
      <c r="O75" s="76"/>
      <c r="P75" s="80"/>
      <c r="Q75" s="76" t="s">
        <v>45</v>
      </c>
      <c r="R75" s="81"/>
    </row>
    <row r="76" spans="1:18" ht="37.15" customHeight="1">
      <c r="A76" s="89" t="s">
        <v>290</v>
      </c>
      <c r="B76" s="82" t="s">
        <v>53</v>
      </c>
      <c r="C76" s="83"/>
      <c r="D76" s="84" t="s">
        <v>117</v>
      </c>
      <c r="E76" s="85">
        <v>43313</v>
      </c>
      <c r="F76" s="85">
        <v>43374</v>
      </c>
      <c r="G76" s="82" t="s">
        <v>252</v>
      </c>
      <c r="H76" s="82" t="s">
        <v>291</v>
      </c>
      <c r="I76" s="82"/>
      <c r="J76" s="82" t="s">
        <v>292</v>
      </c>
      <c r="K76" s="82" t="s">
        <v>293</v>
      </c>
      <c r="L76" s="86" t="s">
        <v>294</v>
      </c>
      <c r="M76" s="79"/>
      <c r="N76" s="84"/>
      <c r="O76" s="84"/>
      <c r="P76" s="80"/>
      <c r="Q76" s="84" t="s">
        <v>45</v>
      </c>
      <c r="R76" s="81"/>
    </row>
    <row r="77" spans="1:18" ht="37.15" customHeight="1">
      <c r="A77" s="90" t="s">
        <v>295</v>
      </c>
      <c r="B77" s="74" t="s">
        <v>53</v>
      </c>
      <c r="C77" s="75"/>
      <c r="D77" s="76" t="s">
        <v>117</v>
      </c>
      <c r="E77" s="77">
        <v>43313</v>
      </c>
      <c r="F77" s="77">
        <v>43374</v>
      </c>
      <c r="G77" s="74" t="s">
        <v>252</v>
      </c>
      <c r="H77" s="74" t="s">
        <v>296</v>
      </c>
      <c r="I77" s="74"/>
      <c r="J77" s="74" t="s">
        <v>292</v>
      </c>
      <c r="K77" s="74" t="s">
        <v>293</v>
      </c>
      <c r="L77" s="78" t="s">
        <v>294</v>
      </c>
      <c r="M77" s="79"/>
      <c r="N77" s="76"/>
      <c r="O77" s="76"/>
      <c r="P77" s="80"/>
      <c r="Q77" s="76" t="s">
        <v>45</v>
      </c>
      <c r="R77" s="81"/>
    </row>
    <row r="78" spans="1:18" ht="37.15" customHeight="1">
      <c r="A78" s="89" t="s">
        <v>297</v>
      </c>
      <c r="B78" s="82" t="s">
        <v>53</v>
      </c>
      <c r="C78" s="83"/>
      <c r="D78" s="84" t="s">
        <v>39</v>
      </c>
      <c r="E78" s="85">
        <v>43313</v>
      </c>
      <c r="F78" s="85">
        <v>43374</v>
      </c>
      <c r="G78" s="82" t="s">
        <v>71</v>
      </c>
      <c r="H78" s="91" t="s">
        <v>298</v>
      </c>
      <c r="I78" s="91"/>
      <c r="J78" s="82" t="s">
        <v>56</v>
      </c>
      <c r="K78" s="82" t="s">
        <v>299</v>
      </c>
      <c r="L78" s="86" t="s">
        <v>300</v>
      </c>
      <c r="M78" s="79"/>
      <c r="N78" s="84"/>
      <c r="O78" s="84"/>
      <c r="P78" s="80"/>
      <c r="Q78" s="84" t="s">
        <v>45</v>
      </c>
      <c r="R78" s="81"/>
    </row>
    <row r="79" spans="1:18" ht="37.15" customHeight="1">
      <c r="A79" s="90" t="s">
        <v>301</v>
      </c>
      <c r="B79" s="74" t="s">
        <v>53</v>
      </c>
      <c r="C79" s="75"/>
      <c r="D79" s="76" t="s">
        <v>39</v>
      </c>
      <c r="E79" s="77">
        <v>43316</v>
      </c>
      <c r="F79" s="77">
        <v>43347</v>
      </c>
      <c r="G79" s="74" t="s">
        <v>71</v>
      </c>
      <c r="H79" s="74">
        <v>22964368</v>
      </c>
      <c r="I79" s="74"/>
      <c r="J79" s="74" t="s">
        <v>56</v>
      </c>
      <c r="K79" s="74"/>
      <c r="L79" s="78" t="s">
        <v>302</v>
      </c>
      <c r="M79" s="79"/>
      <c r="N79" s="76">
        <v>3</v>
      </c>
      <c r="O79" s="76"/>
      <c r="P79" s="80"/>
      <c r="Q79" s="76" t="s">
        <v>45</v>
      </c>
      <c r="R79" s="81"/>
    </row>
    <row r="80" spans="1:18" ht="37.15" customHeight="1">
      <c r="A80" s="89" t="s">
        <v>303</v>
      </c>
      <c r="B80" s="82" t="s">
        <v>53</v>
      </c>
      <c r="C80" s="83"/>
      <c r="D80" s="84" t="s">
        <v>39</v>
      </c>
      <c r="E80" s="85">
        <v>43326</v>
      </c>
      <c r="F80" s="85">
        <v>43387</v>
      </c>
      <c r="G80" s="82" t="s">
        <v>71</v>
      </c>
      <c r="H80" s="82" t="s">
        <v>304</v>
      </c>
      <c r="I80" s="82"/>
      <c r="J80" s="82" t="s">
        <v>56</v>
      </c>
      <c r="K80" s="82"/>
      <c r="L80" s="86" t="s">
        <v>305</v>
      </c>
      <c r="M80" s="79"/>
      <c r="N80" s="84">
        <v>4</v>
      </c>
      <c r="O80" s="84"/>
      <c r="P80" s="80"/>
      <c r="Q80" s="84" t="s">
        <v>45</v>
      </c>
      <c r="R80" s="81"/>
    </row>
    <row r="81" spans="1:18" ht="37.15" customHeight="1">
      <c r="A81" s="90" t="s">
        <v>306</v>
      </c>
      <c r="B81" s="74" t="s">
        <v>53</v>
      </c>
      <c r="C81" s="75"/>
      <c r="D81" s="76" t="s">
        <v>117</v>
      </c>
      <c r="E81" s="77">
        <v>43326</v>
      </c>
      <c r="F81" s="77"/>
      <c r="G81" s="74" t="s">
        <v>71</v>
      </c>
      <c r="H81" s="74" t="s">
        <v>307</v>
      </c>
      <c r="I81" s="74"/>
      <c r="J81" s="74" t="s">
        <v>253</v>
      </c>
      <c r="K81" s="74"/>
      <c r="L81" s="78" t="s">
        <v>308</v>
      </c>
      <c r="M81" s="79"/>
      <c r="N81" s="76">
        <v>2</v>
      </c>
      <c r="O81" s="76"/>
      <c r="P81" s="80"/>
      <c r="Q81" s="76" t="s">
        <v>45</v>
      </c>
      <c r="R81" s="81"/>
    </row>
    <row r="82" spans="1:18" ht="37.15" customHeight="1">
      <c r="A82" s="89" t="s">
        <v>309</v>
      </c>
      <c r="B82" s="82" t="s">
        <v>53</v>
      </c>
      <c r="C82" s="83"/>
      <c r="D82" s="84" t="s">
        <v>39</v>
      </c>
      <c r="E82" s="85">
        <v>43332</v>
      </c>
      <c r="F82" s="85">
        <v>43393</v>
      </c>
      <c r="G82" s="82" t="s">
        <v>71</v>
      </c>
      <c r="H82" s="82" t="s">
        <v>310</v>
      </c>
      <c r="I82" s="82"/>
      <c r="J82" s="82" t="s">
        <v>102</v>
      </c>
      <c r="K82" s="82" t="s">
        <v>311</v>
      </c>
      <c r="L82" s="86" t="s">
        <v>312</v>
      </c>
      <c r="M82" s="79"/>
      <c r="N82" s="84">
        <v>2</v>
      </c>
      <c r="O82" s="84"/>
      <c r="P82" s="80"/>
      <c r="Q82" s="84" t="s">
        <v>45</v>
      </c>
      <c r="R82" s="81"/>
    </row>
    <row r="83" spans="1:18" ht="37.15" customHeight="1">
      <c r="A83" s="74" t="s">
        <v>313</v>
      </c>
      <c r="B83" s="74" t="s">
        <v>53</v>
      </c>
      <c r="C83" s="75"/>
      <c r="D83" s="76" t="s">
        <v>39</v>
      </c>
      <c r="E83" s="77">
        <v>43332</v>
      </c>
      <c r="F83" s="77">
        <v>43393</v>
      </c>
      <c r="G83" s="74" t="s">
        <v>252</v>
      </c>
      <c r="H83" s="74" t="s">
        <v>248</v>
      </c>
      <c r="I83" s="74"/>
      <c r="J83" s="74" t="s">
        <v>56</v>
      </c>
      <c r="K83" s="74"/>
      <c r="L83" s="78" t="s">
        <v>314</v>
      </c>
      <c r="M83" s="79"/>
      <c r="N83" s="76"/>
      <c r="O83" s="76"/>
      <c r="P83" s="80"/>
      <c r="Q83" s="76" t="s">
        <v>45</v>
      </c>
      <c r="R83" s="81"/>
    </row>
    <row r="84" spans="1:18" ht="37.15" customHeight="1">
      <c r="A84" s="89" t="s">
        <v>315</v>
      </c>
      <c r="B84" s="82" t="s">
        <v>53</v>
      </c>
      <c r="C84" s="83"/>
      <c r="D84" s="84" t="s">
        <v>39</v>
      </c>
      <c r="E84" s="85">
        <v>43334</v>
      </c>
      <c r="F84" s="85">
        <v>43395</v>
      </c>
      <c r="G84" s="82" t="s">
        <v>71</v>
      </c>
      <c r="H84" s="82" t="s">
        <v>224</v>
      </c>
      <c r="I84" s="82"/>
      <c r="J84" s="82" t="s">
        <v>316</v>
      </c>
      <c r="K84" s="82" t="s">
        <v>317</v>
      </c>
      <c r="L84" s="86" t="s">
        <v>318</v>
      </c>
      <c r="M84" s="79"/>
      <c r="N84" s="84"/>
      <c r="O84" s="84"/>
      <c r="P84" s="80"/>
      <c r="Q84" s="84" t="s">
        <v>45</v>
      </c>
      <c r="R84" s="81"/>
    </row>
    <row r="85" spans="1:18" ht="37.15" customHeight="1">
      <c r="A85" s="90" t="s">
        <v>319</v>
      </c>
      <c r="B85" s="74" t="s">
        <v>53</v>
      </c>
      <c r="C85" s="75"/>
      <c r="D85" s="76" t="s">
        <v>39</v>
      </c>
      <c r="E85" s="77">
        <v>43344</v>
      </c>
      <c r="F85" s="77">
        <v>43435</v>
      </c>
      <c r="G85" s="74" t="s">
        <v>71</v>
      </c>
      <c r="H85" s="74" t="s">
        <v>320</v>
      </c>
      <c r="I85" s="74"/>
      <c r="J85" s="74" t="s">
        <v>56</v>
      </c>
      <c r="K85" s="74" t="s">
        <v>321</v>
      </c>
      <c r="L85" s="78" t="s">
        <v>322</v>
      </c>
      <c r="M85" s="79"/>
      <c r="N85" s="76">
        <v>4</v>
      </c>
      <c r="O85" s="76"/>
      <c r="P85" s="80"/>
      <c r="Q85" s="76" t="s">
        <v>45</v>
      </c>
      <c r="R85" s="81"/>
    </row>
    <row r="86" spans="1:18" ht="37.15" customHeight="1">
      <c r="A86" s="89" t="s">
        <v>323</v>
      </c>
      <c r="B86" s="82" t="s">
        <v>53</v>
      </c>
      <c r="C86" s="83"/>
      <c r="D86" s="84" t="s">
        <v>39</v>
      </c>
      <c r="E86" s="85">
        <v>43347</v>
      </c>
      <c r="F86" s="85">
        <v>43377</v>
      </c>
      <c r="G86" s="82" t="s">
        <v>71</v>
      </c>
      <c r="H86" s="82" t="s">
        <v>324</v>
      </c>
      <c r="I86" s="82"/>
      <c r="J86" s="82" t="s">
        <v>316</v>
      </c>
      <c r="K86" s="82" t="s">
        <v>321</v>
      </c>
      <c r="L86" s="86" t="s">
        <v>325</v>
      </c>
      <c r="M86" s="79"/>
      <c r="N86" s="84">
        <v>2</v>
      </c>
      <c r="O86" s="84"/>
      <c r="P86" s="80"/>
      <c r="Q86" s="84" t="s">
        <v>45</v>
      </c>
      <c r="R86" s="81"/>
    </row>
    <row r="87" spans="1:18" ht="37.15" customHeight="1">
      <c r="A87" s="90" t="s">
        <v>326</v>
      </c>
      <c r="B87" s="74" t="s">
        <v>53</v>
      </c>
      <c r="C87" s="75"/>
      <c r="D87" s="76" t="s">
        <v>39</v>
      </c>
      <c r="E87" s="77">
        <v>43355</v>
      </c>
      <c r="F87" s="77">
        <v>43385</v>
      </c>
      <c r="G87" s="74" t="s">
        <v>71</v>
      </c>
      <c r="H87" s="92" t="s">
        <v>234</v>
      </c>
      <c r="I87" s="92"/>
      <c r="J87" s="74" t="s">
        <v>56</v>
      </c>
      <c r="K87" s="74">
        <v>503076</v>
      </c>
      <c r="L87" s="78" t="s">
        <v>327</v>
      </c>
      <c r="M87" s="79"/>
      <c r="N87" s="76">
        <v>2</v>
      </c>
      <c r="O87" s="76"/>
      <c r="P87" s="80"/>
      <c r="Q87" s="76" t="s">
        <v>45</v>
      </c>
      <c r="R87" s="81"/>
    </row>
    <row r="88" spans="1:18" ht="37.15" customHeight="1">
      <c r="A88" s="89" t="s">
        <v>328</v>
      </c>
      <c r="B88" s="82" t="s">
        <v>53</v>
      </c>
      <c r="C88" s="83"/>
      <c r="D88" s="84" t="s">
        <v>39</v>
      </c>
      <c r="E88" s="85">
        <v>43378</v>
      </c>
      <c r="F88" s="85">
        <v>43439</v>
      </c>
      <c r="G88" s="82" t="s">
        <v>60</v>
      </c>
      <c r="H88" s="82" t="s">
        <v>204</v>
      </c>
      <c r="I88" s="82"/>
      <c r="J88" s="82" t="s">
        <v>329</v>
      </c>
      <c r="K88" s="82" t="s">
        <v>42</v>
      </c>
      <c r="L88" s="86" t="s">
        <v>330</v>
      </c>
      <c r="M88" s="79"/>
      <c r="N88" s="84">
        <v>1</v>
      </c>
      <c r="O88" s="84"/>
      <c r="P88" s="80"/>
      <c r="Q88" s="84" t="s">
        <v>45</v>
      </c>
      <c r="R88" s="81"/>
    </row>
    <row r="89" spans="1:18" ht="37.15" customHeight="1">
      <c r="A89" s="90" t="s">
        <v>331</v>
      </c>
      <c r="B89" s="74" t="s">
        <v>53</v>
      </c>
      <c r="C89" s="75"/>
      <c r="D89" s="76" t="s">
        <v>39</v>
      </c>
      <c r="E89" s="77">
        <v>43378</v>
      </c>
      <c r="F89" s="77">
        <v>43439</v>
      </c>
      <c r="G89" s="74" t="s">
        <v>60</v>
      </c>
      <c r="H89" s="74" t="s">
        <v>332</v>
      </c>
      <c r="I89" s="74"/>
      <c r="J89" s="74" t="s">
        <v>56</v>
      </c>
      <c r="K89" s="74" t="s">
        <v>42</v>
      </c>
      <c r="L89" s="78" t="s">
        <v>333</v>
      </c>
      <c r="M89" s="79"/>
      <c r="N89" s="76">
        <v>1</v>
      </c>
      <c r="O89" s="76"/>
      <c r="P89" s="80"/>
      <c r="Q89" s="76" t="s">
        <v>45</v>
      </c>
      <c r="R89" s="81"/>
    </row>
    <row r="90" spans="1:18" ht="37.15" customHeight="1">
      <c r="A90" s="89" t="s">
        <v>334</v>
      </c>
      <c r="B90" s="82" t="s">
        <v>53</v>
      </c>
      <c r="C90" s="83"/>
      <c r="D90" s="84" t="s">
        <v>39</v>
      </c>
      <c r="E90" s="85">
        <v>43378</v>
      </c>
      <c r="F90" s="85">
        <v>43501</v>
      </c>
      <c r="G90" s="82" t="s">
        <v>252</v>
      </c>
      <c r="H90" s="82">
        <v>7479070210</v>
      </c>
      <c r="I90" s="82"/>
      <c r="J90" s="82" t="s">
        <v>56</v>
      </c>
      <c r="K90" s="82" t="s">
        <v>335</v>
      </c>
      <c r="L90" s="86" t="s">
        <v>336</v>
      </c>
      <c r="M90" s="79"/>
      <c r="N90" s="84">
        <v>1</v>
      </c>
      <c r="O90" s="84"/>
      <c r="P90" s="80"/>
      <c r="Q90" s="84" t="s">
        <v>45</v>
      </c>
      <c r="R90" s="81"/>
    </row>
    <row r="91" spans="1:18" ht="37.15" customHeight="1">
      <c r="A91" s="90" t="s">
        <v>337</v>
      </c>
      <c r="B91" s="74" t="s">
        <v>53</v>
      </c>
      <c r="C91" s="75"/>
      <c r="D91" s="76" t="s">
        <v>39</v>
      </c>
      <c r="E91" s="77">
        <v>43378</v>
      </c>
      <c r="F91" s="77">
        <v>43501</v>
      </c>
      <c r="G91" s="74" t="s">
        <v>252</v>
      </c>
      <c r="H91" s="74" t="s">
        <v>248</v>
      </c>
      <c r="I91" s="74"/>
      <c r="J91" s="74" t="s">
        <v>56</v>
      </c>
      <c r="K91" s="74" t="s">
        <v>338</v>
      </c>
      <c r="L91" s="78" t="s">
        <v>339</v>
      </c>
      <c r="M91" s="79"/>
      <c r="N91" s="76">
        <v>1</v>
      </c>
      <c r="O91" s="76"/>
      <c r="P91" s="80"/>
      <c r="Q91" s="76" t="s">
        <v>45</v>
      </c>
      <c r="R91" s="81"/>
    </row>
    <row r="92" spans="1:18" ht="37.15" customHeight="1">
      <c r="A92" s="89" t="s">
        <v>340</v>
      </c>
      <c r="B92" s="82" t="s">
        <v>53</v>
      </c>
      <c r="C92" s="83"/>
      <c r="D92" s="84" t="s">
        <v>39</v>
      </c>
      <c r="E92" s="85">
        <v>43378</v>
      </c>
      <c r="F92" s="85">
        <v>43501</v>
      </c>
      <c r="G92" s="82" t="s">
        <v>252</v>
      </c>
      <c r="H92" s="82">
        <v>7479069696</v>
      </c>
      <c r="I92" s="82"/>
      <c r="J92" s="82" t="s">
        <v>56</v>
      </c>
      <c r="K92" s="82" t="s">
        <v>341</v>
      </c>
      <c r="L92" s="86" t="s">
        <v>342</v>
      </c>
      <c r="M92" s="79"/>
      <c r="N92" s="84">
        <v>1</v>
      </c>
      <c r="O92" s="84"/>
      <c r="P92" s="80"/>
      <c r="Q92" s="84" t="s">
        <v>45</v>
      </c>
      <c r="R92" s="81"/>
    </row>
    <row r="93" spans="1:18" ht="37.15" customHeight="1">
      <c r="A93" s="90" t="s">
        <v>343</v>
      </c>
      <c r="B93" s="74" t="s">
        <v>53</v>
      </c>
      <c r="C93" s="75"/>
      <c r="D93" s="76" t="s">
        <v>39</v>
      </c>
      <c r="E93" s="77">
        <v>43405</v>
      </c>
      <c r="F93" s="77">
        <v>43435</v>
      </c>
      <c r="G93" s="74" t="s">
        <v>60</v>
      </c>
      <c r="H93" s="74" t="s">
        <v>344</v>
      </c>
      <c r="I93" s="74"/>
      <c r="J93" s="74" t="s">
        <v>56</v>
      </c>
      <c r="K93" s="74" t="s">
        <v>345</v>
      </c>
      <c r="L93" s="78" t="s">
        <v>346</v>
      </c>
      <c r="M93" s="79"/>
      <c r="N93" s="76">
        <v>2</v>
      </c>
      <c r="O93" s="76"/>
      <c r="P93" s="80"/>
      <c r="Q93" s="76" t="s">
        <v>45</v>
      </c>
      <c r="R93" s="81"/>
    </row>
    <row r="94" spans="1:18" ht="37.15" customHeight="1">
      <c r="A94" s="89" t="s">
        <v>347</v>
      </c>
      <c r="B94" s="82" t="s">
        <v>53</v>
      </c>
      <c r="C94" s="83"/>
      <c r="D94" s="84" t="s">
        <v>39</v>
      </c>
      <c r="E94" s="85">
        <v>43444</v>
      </c>
      <c r="F94" s="85">
        <v>43475</v>
      </c>
      <c r="G94" s="82" t="s">
        <v>71</v>
      </c>
      <c r="H94" s="82" t="s">
        <v>348</v>
      </c>
      <c r="I94" s="82"/>
      <c r="J94" s="82" t="s">
        <v>56</v>
      </c>
      <c r="K94" s="82"/>
      <c r="L94" s="86" t="s">
        <v>349</v>
      </c>
      <c r="M94" s="79"/>
      <c r="N94" s="84">
        <v>2</v>
      </c>
      <c r="O94" s="84"/>
      <c r="P94" s="80"/>
      <c r="Q94" s="84" t="s">
        <v>45</v>
      </c>
      <c r="R94" s="81"/>
    </row>
    <row r="95" spans="1:18" ht="37.15" customHeight="1">
      <c r="A95" s="90" t="s">
        <v>350</v>
      </c>
      <c r="B95" s="74" t="s">
        <v>53</v>
      </c>
      <c r="C95" s="75"/>
      <c r="D95" s="76" t="s">
        <v>39</v>
      </c>
      <c r="E95" s="77">
        <v>43455</v>
      </c>
      <c r="F95" s="77">
        <v>43486</v>
      </c>
      <c r="G95" s="74" t="s">
        <v>252</v>
      </c>
      <c r="H95" s="74" t="s">
        <v>351</v>
      </c>
      <c r="I95" s="74"/>
      <c r="J95" s="74" t="s">
        <v>56</v>
      </c>
      <c r="K95" s="74"/>
      <c r="L95" s="78" t="s">
        <v>352</v>
      </c>
      <c r="M95" s="79"/>
      <c r="N95" s="76">
        <v>2</v>
      </c>
      <c r="O95" s="76"/>
      <c r="P95" s="80"/>
      <c r="Q95" s="76" t="s">
        <v>45</v>
      </c>
      <c r="R95" s="81"/>
    </row>
    <row r="96" spans="1:18" ht="37.15" customHeight="1">
      <c r="A96" s="89" t="s">
        <v>353</v>
      </c>
      <c r="B96" s="82" t="s">
        <v>53</v>
      </c>
      <c r="C96" s="83"/>
      <c r="D96" s="84" t="s">
        <v>39</v>
      </c>
      <c r="E96" s="85">
        <v>43468</v>
      </c>
      <c r="F96" s="85">
        <v>43499</v>
      </c>
      <c r="G96" s="82" t="s">
        <v>354</v>
      </c>
      <c r="H96" s="82" t="s">
        <v>355</v>
      </c>
      <c r="I96" s="82"/>
      <c r="J96" s="82" t="s">
        <v>356</v>
      </c>
      <c r="K96" s="82"/>
      <c r="L96" s="86" t="s">
        <v>357</v>
      </c>
      <c r="M96" s="79"/>
      <c r="N96" s="84">
        <v>2</v>
      </c>
      <c r="O96" s="84"/>
      <c r="P96" s="80"/>
      <c r="Q96" s="84" t="s">
        <v>45</v>
      </c>
      <c r="R96" s="81"/>
    </row>
    <row r="97" spans="1:18" ht="37.15" customHeight="1">
      <c r="A97" s="90" t="s">
        <v>358</v>
      </c>
      <c r="B97" s="74" t="s">
        <v>53</v>
      </c>
      <c r="C97" s="75"/>
      <c r="D97" s="76" t="s">
        <v>39</v>
      </c>
      <c r="E97" s="77">
        <v>43468</v>
      </c>
      <c r="F97" s="77">
        <v>43499</v>
      </c>
      <c r="G97" s="74" t="s">
        <v>354</v>
      </c>
      <c r="H97" s="74" t="s">
        <v>359</v>
      </c>
      <c r="I97" s="74"/>
      <c r="J97" s="74" t="s">
        <v>356</v>
      </c>
      <c r="K97" s="74"/>
      <c r="L97" s="78" t="s">
        <v>357</v>
      </c>
      <c r="M97" s="79"/>
      <c r="N97" s="76">
        <v>2</v>
      </c>
      <c r="O97" s="76"/>
      <c r="P97" s="80"/>
      <c r="Q97" s="76" t="s">
        <v>45</v>
      </c>
      <c r="R97" s="81"/>
    </row>
    <row r="98" spans="1:18" ht="37.15" customHeight="1">
      <c r="A98" s="89" t="s">
        <v>360</v>
      </c>
      <c r="B98" s="82" t="s">
        <v>53</v>
      </c>
      <c r="C98" s="83"/>
      <c r="D98" s="84" t="s">
        <v>39</v>
      </c>
      <c r="E98" s="85">
        <v>43472</v>
      </c>
      <c r="F98" s="85">
        <v>43503</v>
      </c>
      <c r="G98" s="82" t="s">
        <v>60</v>
      </c>
      <c r="H98" s="82" t="s">
        <v>361</v>
      </c>
      <c r="I98" s="82"/>
      <c r="J98" s="82" t="s">
        <v>56</v>
      </c>
      <c r="K98" s="82" t="s">
        <v>345</v>
      </c>
      <c r="L98" s="86" t="s">
        <v>362</v>
      </c>
      <c r="M98" s="79"/>
      <c r="N98" s="84">
        <v>2</v>
      </c>
      <c r="O98" s="84"/>
      <c r="P98" s="80"/>
      <c r="Q98" s="84" t="s">
        <v>45</v>
      </c>
      <c r="R98" s="81"/>
    </row>
    <row r="99" spans="1:18" ht="37.15" customHeight="1">
      <c r="A99" s="90" t="s">
        <v>363</v>
      </c>
      <c r="B99" s="74" t="s">
        <v>53</v>
      </c>
      <c r="C99" s="75"/>
      <c r="D99" s="76" t="s">
        <v>39</v>
      </c>
      <c r="E99" s="77">
        <v>43475</v>
      </c>
      <c r="F99" s="77">
        <v>43506</v>
      </c>
      <c r="G99" s="74" t="s">
        <v>252</v>
      </c>
      <c r="H99" s="74">
        <v>7479036296</v>
      </c>
      <c r="I99" s="74"/>
      <c r="J99" s="74" t="s">
        <v>56</v>
      </c>
      <c r="K99" s="74" t="s">
        <v>364</v>
      </c>
      <c r="L99" s="78" t="s">
        <v>365</v>
      </c>
      <c r="M99" s="79"/>
      <c r="N99" s="76">
        <v>2</v>
      </c>
      <c r="O99" s="76"/>
      <c r="P99" s="80"/>
      <c r="Q99" s="76" t="s">
        <v>45</v>
      </c>
      <c r="R99" s="81"/>
    </row>
    <row r="100" spans="1:18" ht="37.15" customHeight="1">
      <c r="A100" s="89" t="s">
        <v>366</v>
      </c>
      <c r="B100" s="82" t="s">
        <v>53</v>
      </c>
      <c r="C100" s="83"/>
      <c r="D100" s="84" t="s">
        <v>39</v>
      </c>
      <c r="E100" s="85">
        <v>43488</v>
      </c>
      <c r="F100" s="85">
        <v>43519</v>
      </c>
      <c r="G100" s="82" t="s">
        <v>71</v>
      </c>
      <c r="H100" s="91" t="s">
        <v>298</v>
      </c>
      <c r="I100" s="91"/>
      <c r="J100" s="82" t="s">
        <v>56</v>
      </c>
      <c r="K100" s="82">
        <v>504119</v>
      </c>
      <c r="L100" s="86" t="s">
        <v>367</v>
      </c>
      <c r="M100" s="79"/>
      <c r="N100" s="84">
        <v>2</v>
      </c>
      <c r="O100" s="84"/>
      <c r="P100" s="80"/>
      <c r="Q100" s="84" t="s">
        <v>45</v>
      </c>
      <c r="R100" s="81"/>
    </row>
    <row r="101" spans="1:18" ht="37.15" customHeight="1">
      <c r="A101" s="90" t="s">
        <v>368</v>
      </c>
      <c r="B101" s="74" t="s">
        <v>53</v>
      </c>
      <c r="C101" s="75"/>
      <c r="D101" s="76" t="s">
        <v>39</v>
      </c>
      <c r="E101" s="77">
        <v>43490</v>
      </c>
      <c r="F101" s="77">
        <v>43521</v>
      </c>
      <c r="G101" s="74" t="s">
        <v>252</v>
      </c>
      <c r="H101" s="74">
        <v>7479069696</v>
      </c>
      <c r="I101" s="74"/>
      <c r="J101" s="74" t="s">
        <v>56</v>
      </c>
      <c r="K101" s="74" t="s">
        <v>345</v>
      </c>
      <c r="L101" s="78" t="s">
        <v>369</v>
      </c>
      <c r="M101" s="79"/>
      <c r="N101" s="76">
        <v>2</v>
      </c>
      <c r="O101" s="76"/>
      <c r="P101" s="80"/>
      <c r="Q101" s="76" t="s">
        <v>45</v>
      </c>
      <c r="R101" s="81"/>
    </row>
    <row r="102" spans="1:18" ht="37.15" customHeight="1">
      <c r="A102" s="89" t="s">
        <v>370</v>
      </c>
      <c r="B102" s="82" t="s">
        <v>53</v>
      </c>
      <c r="C102" s="83"/>
      <c r="D102" s="84" t="s">
        <v>39</v>
      </c>
      <c r="E102" s="85">
        <v>43490</v>
      </c>
      <c r="F102" s="85">
        <v>43521</v>
      </c>
      <c r="G102" s="82" t="s">
        <v>60</v>
      </c>
      <c r="H102" s="82" t="s">
        <v>371</v>
      </c>
      <c r="I102" s="82"/>
      <c r="J102" s="82" t="s">
        <v>56</v>
      </c>
      <c r="K102" s="82" t="s">
        <v>345</v>
      </c>
      <c r="L102" s="86" t="s">
        <v>372</v>
      </c>
      <c r="M102" s="79"/>
      <c r="N102" s="84">
        <v>2</v>
      </c>
      <c r="O102" s="84"/>
      <c r="P102" s="80"/>
      <c r="Q102" s="84" t="s">
        <v>45</v>
      </c>
      <c r="R102" s="81"/>
    </row>
    <row r="103" spans="1:18" ht="37.15" customHeight="1">
      <c r="A103" s="90" t="s">
        <v>373</v>
      </c>
      <c r="B103" s="74" t="s">
        <v>53</v>
      </c>
      <c r="C103" s="75"/>
      <c r="D103" s="76" t="s">
        <v>39</v>
      </c>
      <c r="E103" s="77">
        <v>43493</v>
      </c>
      <c r="F103" s="77">
        <v>43524</v>
      </c>
      <c r="G103" s="74" t="s">
        <v>252</v>
      </c>
      <c r="H103" s="74" t="s">
        <v>374</v>
      </c>
      <c r="I103" s="74"/>
      <c r="J103" s="74" t="s">
        <v>56</v>
      </c>
      <c r="K103" s="74"/>
      <c r="L103" s="78" t="s">
        <v>375</v>
      </c>
      <c r="M103" s="79"/>
      <c r="N103" s="76">
        <v>2</v>
      </c>
      <c r="O103" s="76"/>
      <c r="P103" s="80"/>
      <c r="Q103" s="76" t="s">
        <v>45</v>
      </c>
      <c r="R103" s="81"/>
    </row>
    <row r="104" spans="1:18" ht="37.15" customHeight="1">
      <c r="A104" s="89" t="s">
        <v>376</v>
      </c>
      <c r="B104" s="82" t="s">
        <v>53</v>
      </c>
      <c r="C104" s="83"/>
      <c r="D104" s="84" t="s">
        <v>39</v>
      </c>
      <c r="E104" s="85">
        <v>43494</v>
      </c>
      <c r="F104" s="85">
        <v>43525</v>
      </c>
      <c r="G104" s="82" t="s">
        <v>252</v>
      </c>
      <c r="H104" s="82" t="s">
        <v>374</v>
      </c>
      <c r="I104" s="82"/>
      <c r="J104" s="82" t="s">
        <v>56</v>
      </c>
      <c r="K104" s="82"/>
      <c r="L104" s="86" t="s">
        <v>377</v>
      </c>
      <c r="M104" s="79"/>
      <c r="N104" s="84">
        <v>2</v>
      </c>
      <c r="O104" s="84"/>
      <c r="P104" s="80"/>
      <c r="Q104" s="84" t="s">
        <v>45</v>
      </c>
      <c r="R104" s="81"/>
    </row>
    <row r="105" spans="1:18" ht="37.15" customHeight="1">
      <c r="A105" s="90" t="s">
        <v>378</v>
      </c>
      <c r="B105" s="74" t="s">
        <v>53</v>
      </c>
      <c r="C105" s="75"/>
      <c r="D105" s="76" t="s">
        <v>39</v>
      </c>
      <c r="E105" s="77">
        <v>43494</v>
      </c>
      <c r="F105" s="77">
        <v>43525</v>
      </c>
      <c r="G105" s="74" t="s">
        <v>252</v>
      </c>
      <c r="H105" s="74" t="s">
        <v>374</v>
      </c>
      <c r="I105" s="74"/>
      <c r="J105" s="74" t="s">
        <v>56</v>
      </c>
      <c r="K105" s="74"/>
      <c r="L105" s="78" t="s">
        <v>379</v>
      </c>
      <c r="M105" s="79"/>
      <c r="N105" s="76">
        <v>2</v>
      </c>
      <c r="O105" s="76"/>
      <c r="P105" s="80"/>
      <c r="Q105" s="76" t="s">
        <v>45</v>
      </c>
      <c r="R105" s="81"/>
    </row>
    <row r="106" spans="1:18" ht="37.15" customHeight="1">
      <c r="A106" s="89" t="s">
        <v>380</v>
      </c>
      <c r="B106" s="82" t="s">
        <v>53</v>
      </c>
      <c r="C106" s="83"/>
      <c r="D106" s="84" t="s">
        <v>39</v>
      </c>
      <c r="E106" s="85">
        <v>43500</v>
      </c>
      <c r="F106" s="85">
        <v>43528</v>
      </c>
      <c r="G106" s="82" t="s">
        <v>252</v>
      </c>
      <c r="H106" s="82" t="s">
        <v>381</v>
      </c>
      <c r="I106" s="82"/>
      <c r="J106" s="82" t="s">
        <v>56</v>
      </c>
      <c r="K106" s="82" t="s">
        <v>382</v>
      </c>
      <c r="L106" s="86" t="s">
        <v>383</v>
      </c>
      <c r="M106" s="79"/>
      <c r="N106" s="84">
        <v>2</v>
      </c>
      <c r="O106" s="84"/>
      <c r="P106" s="80"/>
      <c r="Q106" s="84" t="s">
        <v>45</v>
      </c>
      <c r="R106" s="81"/>
    </row>
    <row r="107" spans="1:18" ht="37.15" customHeight="1">
      <c r="A107" s="90" t="s">
        <v>384</v>
      </c>
      <c r="B107" s="74" t="s">
        <v>53</v>
      </c>
      <c r="C107" s="75"/>
      <c r="D107" s="76" t="s">
        <v>39</v>
      </c>
      <c r="E107" s="77">
        <v>43501</v>
      </c>
      <c r="F107" s="77">
        <v>43529</v>
      </c>
      <c r="G107" s="74" t="s">
        <v>252</v>
      </c>
      <c r="H107" s="74" t="s">
        <v>248</v>
      </c>
      <c r="I107" s="74"/>
      <c r="J107" s="74" t="s">
        <v>385</v>
      </c>
      <c r="K107" s="74" t="s">
        <v>386</v>
      </c>
      <c r="L107" s="78" t="s">
        <v>387</v>
      </c>
      <c r="M107" s="79"/>
      <c r="N107" s="76">
        <v>2</v>
      </c>
      <c r="O107" s="76"/>
      <c r="P107" s="80"/>
      <c r="Q107" s="76" t="s">
        <v>45</v>
      </c>
      <c r="R107" s="81"/>
    </row>
    <row r="108" spans="1:18" ht="37.15" hidden="1" customHeight="1">
      <c r="A108" s="89" t="s">
        <v>388</v>
      </c>
      <c r="B108" s="82" t="s">
        <v>38</v>
      </c>
      <c r="C108" s="83"/>
      <c r="D108" s="84" t="s">
        <v>39</v>
      </c>
      <c r="E108" s="85">
        <v>43502</v>
      </c>
      <c r="F108" s="85">
        <v>43530</v>
      </c>
      <c r="G108" s="82" t="s">
        <v>389</v>
      </c>
      <c r="H108" s="82" t="s">
        <v>390</v>
      </c>
      <c r="I108" s="82"/>
      <c r="J108" s="82" t="s">
        <v>56</v>
      </c>
      <c r="K108" s="82" t="s">
        <v>391</v>
      </c>
      <c r="L108" s="86" t="s">
        <v>392</v>
      </c>
      <c r="M108" s="79"/>
      <c r="N108" s="84"/>
      <c r="O108" s="84"/>
      <c r="P108" s="80"/>
      <c r="Q108" s="84" t="s">
        <v>45</v>
      </c>
      <c r="R108" s="81"/>
    </row>
    <row r="109" spans="1:18" ht="37.15" customHeight="1">
      <c r="A109" s="90" t="s">
        <v>393</v>
      </c>
      <c r="B109" s="74" t="s">
        <v>53</v>
      </c>
      <c r="C109" s="75"/>
      <c r="D109" s="76" t="s">
        <v>39</v>
      </c>
      <c r="E109" s="77">
        <v>43508</v>
      </c>
      <c r="F109" s="77">
        <v>43536</v>
      </c>
      <c r="G109" s="74" t="s">
        <v>252</v>
      </c>
      <c r="H109" s="74" t="s">
        <v>248</v>
      </c>
      <c r="I109" s="74"/>
      <c r="J109" s="74" t="s">
        <v>385</v>
      </c>
      <c r="K109" s="74"/>
      <c r="L109" s="78" t="s">
        <v>394</v>
      </c>
      <c r="M109" s="79"/>
      <c r="N109" s="76">
        <v>2</v>
      </c>
      <c r="O109" s="76"/>
      <c r="P109" s="80"/>
      <c r="Q109" s="76" t="s">
        <v>45</v>
      </c>
      <c r="R109" s="81"/>
    </row>
    <row r="110" spans="1:18" ht="37.15" customHeight="1">
      <c r="A110" s="89" t="s">
        <v>395</v>
      </c>
      <c r="B110" s="82" t="s">
        <v>53</v>
      </c>
      <c r="C110" s="83"/>
      <c r="D110" s="84" t="s">
        <v>39</v>
      </c>
      <c r="E110" s="85">
        <v>43511</v>
      </c>
      <c r="F110" s="85">
        <v>43539</v>
      </c>
      <c r="G110" s="82" t="s">
        <v>252</v>
      </c>
      <c r="H110" s="82" t="s">
        <v>248</v>
      </c>
      <c r="I110" s="82"/>
      <c r="J110" s="82" t="s">
        <v>385</v>
      </c>
      <c r="K110" s="82"/>
      <c r="L110" s="86" t="s">
        <v>396</v>
      </c>
      <c r="M110" s="79"/>
      <c r="N110" s="84"/>
      <c r="O110" s="84"/>
      <c r="P110" s="80"/>
      <c r="Q110" s="84" t="s">
        <v>45</v>
      </c>
      <c r="R110" s="81"/>
    </row>
    <row r="111" spans="1:18" ht="37.15" customHeight="1">
      <c r="A111" s="90" t="s">
        <v>397</v>
      </c>
      <c r="B111" s="74" t="s">
        <v>53</v>
      </c>
      <c r="C111" s="75"/>
      <c r="D111" s="76" t="s">
        <v>117</v>
      </c>
      <c r="E111" s="77">
        <v>43511</v>
      </c>
      <c r="F111" s="77">
        <v>43539</v>
      </c>
      <c r="G111" s="74" t="s">
        <v>71</v>
      </c>
      <c r="H111" s="74" t="s">
        <v>398</v>
      </c>
      <c r="I111" s="74"/>
      <c r="J111" s="74" t="s">
        <v>399</v>
      </c>
      <c r="K111" s="74" t="s">
        <v>345</v>
      </c>
      <c r="L111" s="78" t="s">
        <v>400</v>
      </c>
      <c r="M111" s="79"/>
      <c r="N111" s="76">
        <v>1</v>
      </c>
      <c r="O111" s="76"/>
      <c r="P111" s="80"/>
      <c r="Q111" s="76" t="s">
        <v>45</v>
      </c>
      <c r="R111" s="81"/>
    </row>
    <row r="112" spans="1:18" ht="37.15" customHeight="1">
      <c r="A112" s="89" t="s">
        <v>401</v>
      </c>
      <c r="B112" s="82" t="s">
        <v>53</v>
      </c>
      <c r="C112" s="83"/>
      <c r="D112" s="84" t="s">
        <v>39</v>
      </c>
      <c r="E112" s="85">
        <v>43511</v>
      </c>
      <c r="F112" s="85">
        <v>43539</v>
      </c>
      <c r="G112" s="82" t="s">
        <v>71</v>
      </c>
      <c r="H112" s="82" t="s">
        <v>402</v>
      </c>
      <c r="I112" s="82"/>
      <c r="J112" s="82" t="s">
        <v>98</v>
      </c>
      <c r="K112" s="82" t="s">
        <v>403</v>
      </c>
      <c r="L112" s="86" t="s">
        <v>404</v>
      </c>
      <c r="M112" s="79"/>
      <c r="N112" s="84">
        <v>2</v>
      </c>
      <c r="O112" s="84"/>
      <c r="P112" s="80"/>
      <c r="Q112" s="84" t="s">
        <v>45</v>
      </c>
      <c r="R112" s="81"/>
    </row>
    <row r="113" spans="1:18" ht="37.15" customHeight="1">
      <c r="A113" s="90" t="s">
        <v>405</v>
      </c>
      <c r="B113" s="74" t="s">
        <v>53</v>
      </c>
      <c r="C113" s="75"/>
      <c r="D113" s="76" t="s">
        <v>39</v>
      </c>
      <c r="E113" s="77">
        <v>43521</v>
      </c>
      <c r="F113" s="77">
        <v>43549</v>
      </c>
      <c r="G113" s="74" t="s">
        <v>252</v>
      </c>
      <c r="H113" s="74" t="s">
        <v>406</v>
      </c>
      <c r="I113" s="74"/>
      <c r="J113" s="74" t="s">
        <v>385</v>
      </c>
      <c r="K113" s="74" t="s">
        <v>407</v>
      </c>
      <c r="L113" s="78" t="s">
        <v>408</v>
      </c>
      <c r="M113" s="79"/>
      <c r="N113" s="76">
        <v>2</v>
      </c>
      <c r="O113" s="95"/>
      <c r="P113" s="80"/>
      <c r="Q113" s="76" t="s">
        <v>45</v>
      </c>
      <c r="R113" s="81"/>
    </row>
    <row r="114" spans="1:18" ht="37.15" customHeight="1">
      <c r="A114" s="89" t="s">
        <v>409</v>
      </c>
      <c r="B114" s="82" t="s">
        <v>53</v>
      </c>
      <c r="C114" s="83"/>
      <c r="D114" s="84" t="s">
        <v>117</v>
      </c>
      <c r="E114" s="85">
        <v>43530</v>
      </c>
      <c r="F114" s="85">
        <v>43561</v>
      </c>
      <c r="G114" s="82" t="s">
        <v>252</v>
      </c>
      <c r="H114" s="82" t="s">
        <v>248</v>
      </c>
      <c r="I114" s="82"/>
      <c r="J114" s="82" t="s">
        <v>56</v>
      </c>
      <c r="K114" s="82" t="s">
        <v>410</v>
      </c>
      <c r="L114" s="86" t="s">
        <v>411</v>
      </c>
      <c r="M114" s="79"/>
      <c r="N114" s="84">
        <v>2</v>
      </c>
      <c r="O114" s="95"/>
      <c r="P114" s="80"/>
      <c r="Q114" s="84" t="s">
        <v>45</v>
      </c>
      <c r="R114" s="81"/>
    </row>
    <row r="115" spans="1:18" ht="37.15" customHeight="1">
      <c r="A115" s="90" t="s">
        <v>412</v>
      </c>
      <c r="B115" s="74" t="s">
        <v>53</v>
      </c>
      <c r="C115" s="75"/>
      <c r="D115" s="76" t="s">
        <v>117</v>
      </c>
      <c r="E115" s="77">
        <v>43530</v>
      </c>
      <c r="F115" s="77">
        <v>43561</v>
      </c>
      <c r="G115" s="74" t="s">
        <v>252</v>
      </c>
      <c r="H115" s="74" t="s">
        <v>248</v>
      </c>
      <c r="I115" s="74"/>
      <c r="J115" s="74" t="s">
        <v>56</v>
      </c>
      <c r="K115" s="74" t="s">
        <v>42</v>
      </c>
      <c r="L115" s="78" t="s">
        <v>413</v>
      </c>
      <c r="M115" s="79"/>
      <c r="N115" s="76">
        <v>2</v>
      </c>
      <c r="O115" s="95"/>
      <c r="P115" s="80"/>
      <c r="Q115" s="76" t="s">
        <v>45</v>
      </c>
      <c r="R115" s="81"/>
    </row>
    <row r="116" spans="1:18" ht="37.15" customHeight="1">
      <c r="A116" s="89" t="s">
        <v>414</v>
      </c>
      <c r="B116" s="82" t="s">
        <v>53</v>
      </c>
      <c r="C116" s="83"/>
      <c r="D116" s="84" t="s">
        <v>117</v>
      </c>
      <c r="E116" s="85">
        <v>43530</v>
      </c>
      <c r="F116" s="85">
        <v>43561</v>
      </c>
      <c r="G116" s="82" t="s">
        <v>71</v>
      </c>
      <c r="H116" s="82" t="s">
        <v>304</v>
      </c>
      <c r="I116" s="82"/>
      <c r="J116" s="82" t="s">
        <v>385</v>
      </c>
      <c r="K116" s="82" t="s">
        <v>386</v>
      </c>
      <c r="L116" s="86" t="s">
        <v>415</v>
      </c>
      <c r="M116" s="79"/>
      <c r="N116" s="84">
        <v>2</v>
      </c>
      <c r="O116" s="95"/>
      <c r="P116" s="80"/>
      <c r="Q116" s="84" t="s">
        <v>45</v>
      </c>
      <c r="R116" s="81"/>
    </row>
    <row r="117" spans="1:18" ht="37.15" customHeight="1">
      <c r="A117" s="90" t="s">
        <v>416</v>
      </c>
      <c r="B117" s="74" t="s">
        <v>53</v>
      </c>
      <c r="C117" s="75"/>
      <c r="D117" s="76" t="s">
        <v>39</v>
      </c>
      <c r="E117" s="77">
        <v>43530</v>
      </c>
      <c r="F117" s="77">
        <v>43561</v>
      </c>
      <c r="G117" s="74" t="s">
        <v>252</v>
      </c>
      <c r="H117" s="74" t="s">
        <v>248</v>
      </c>
      <c r="I117" s="74"/>
      <c r="J117" s="74" t="s">
        <v>56</v>
      </c>
      <c r="K117" s="74" t="s">
        <v>43</v>
      </c>
      <c r="L117" s="78" t="s">
        <v>417</v>
      </c>
      <c r="M117" s="79"/>
      <c r="N117" s="76">
        <v>2</v>
      </c>
      <c r="O117" s="95"/>
      <c r="P117" s="80"/>
      <c r="Q117" s="76" t="s">
        <v>45</v>
      </c>
      <c r="R117" s="81"/>
    </row>
    <row r="118" spans="1:18" ht="37.15" customHeight="1">
      <c r="A118" s="89" t="s">
        <v>418</v>
      </c>
      <c r="B118" s="82" t="s">
        <v>53</v>
      </c>
      <c r="C118" s="83"/>
      <c r="D118" s="84" t="s">
        <v>39</v>
      </c>
      <c r="E118" s="85">
        <v>43524</v>
      </c>
      <c r="F118" s="85">
        <v>43552</v>
      </c>
      <c r="G118" s="82" t="s">
        <v>252</v>
      </c>
      <c r="H118" s="82" t="s">
        <v>248</v>
      </c>
      <c r="I118" s="82"/>
      <c r="J118" s="82" t="s">
        <v>385</v>
      </c>
      <c r="K118" s="82" t="s">
        <v>386</v>
      </c>
      <c r="L118" s="86" t="s">
        <v>419</v>
      </c>
      <c r="M118" s="79"/>
      <c r="N118" s="84">
        <v>2</v>
      </c>
      <c r="O118" s="95"/>
      <c r="P118" s="80"/>
      <c r="Q118" s="84" t="s">
        <v>45</v>
      </c>
      <c r="R118" s="81"/>
    </row>
    <row r="119" spans="1:18" ht="37.15" customHeight="1">
      <c r="A119" s="90" t="s">
        <v>420</v>
      </c>
      <c r="B119" s="74" t="s">
        <v>53</v>
      </c>
      <c r="C119" s="75"/>
      <c r="D119" s="76" t="s">
        <v>39</v>
      </c>
      <c r="E119" s="77">
        <v>43529</v>
      </c>
      <c r="F119" s="77">
        <v>43560</v>
      </c>
      <c r="G119" s="74" t="s">
        <v>252</v>
      </c>
      <c r="H119" s="74" t="s">
        <v>248</v>
      </c>
      <c r="I119" s="74"/>
      <c r="J119" s="74" t="s">
        <v>385</v>
      </c>
      <c r="K119" s="74" t="s">
        <v>386</v>
      </c>
      <c r="L119" s="78" t="s">
        <v>421</v>
      </c>
      <c r="M119" s="79"/>
      <c r="N119" s="76">
        <v>2</v>
      </c>
      <c r="O119" s="95"/>
      <c r="P119" s="80"/>
      <c r="Q119" s="76" t="s">
        <v>45</v>
      </c>
      <c r="R119" s="81"/>
    </row>
    <row r="120" spans="1:18" ht="37.15" customHeight="1">
      <c r="A120" s="89" t="s">
        <v>422</v>
      </c>
      <c r="B120" s="82" t="s">
        <v>53</v>
      </c>
      <c r="C120" s="83"/>
      <c r="D120" s="84" t="s">
        <v>39</v>
      </c>
      <c r="E120" s="85">
        <v>43529</v>
      </c>
      <c r="F120" s="85">
        <v>43560</v>
      </c>
      <c r="G120" s="82" t="s">
        <v>252</v>
      </c>
      <c r="H120" s="82" t="s">
        <v>423</v>
      </c>
      <c r="I120" s="82"/>
      <c r="J120" s="82" t="s">
        <v>385</v>
      </c>
      <c r="K120" s="82" t="s">
        <v>386</v>
      </c>
      <c r="L120" s="86" t="s">
        <v>424</v>
      </c>
      <c r="M120" s="79"/>
      <c r="N120" s="84">
        <v>2</v>
      </c>
      <c r="O120" s="95"/>
      <c r="P120" s="80"/>
      <c r="Q120" s="84" t="s">
        <v>45</v>
      </c>
      <c r="R120" s="81"/>
    </row>
    <row r="121" spans="1:18" ht="37.15" customHeight="1">
      <c r="A121" s="90" t="s">
        <v>425</v>
      </c>
      <c r="B121" s="74" t="s">
        <v>53</v>
      </c>
      <c r="C121" s="75"/>
      <c r="D121" s="76" t="s">
        <v>39</v>
      </c>
      <c r="E121" s="77">
        <v>43535</v>
      </c>
      <c r="F121" s="77">
        <v>43566</v>
      </c>
      <c r="G121" s="74" t="s">
        <v>252</v>
      </c>
      <c r="H121" s="74" t="s">
        <v>248</v>
      </c>
      <c r="I121" s="74"/>
      <c r="J121" s="74" t="s">
        <v>385</v>
      </c>
      <c r="K121" s="74" t="s">
        <v>386</v>
      </c>
      <c r="L121" s="78" t="s">
        <v>426</v>
      </c>
      <c r="M121" s="79"/>
      <c r="N121" s="76">
        <v>2</v>
      </c>
      <c r="O121" s="95"/>
      <c r="P121" s="80"/>
      <c r="Q121" s="76" t="s">
        <v>45</v>
      </c>
      <c r="R121" s="81"/>
    </row>
    <row r="122" spans="1:18" ht="37.15" customHeight="1">
      <c r="A122" s="89" t="s">
        <v>427</v>
      </c>
      <c r="B122" s="82" t="s">
        <v>53</v>
      </c>
      <c r="C122" s="83"/>
      <c r="D122" s="84" t="s">
        <v>39</v>
      </c>
      <c r="E122" s="85">
        <v>43536</v>
      </c>
      <c r="F122" s="85">
        <v>43567</v>
      </c>
      <c r="G122" s="82" t="s">
        <v>60</v>
      </c>
      <c r="H122" s="82">
        <v>13797</v>
      </c>
      <c r="I122" s="82"/>
      <c r="J122" s="82" t="s">
        <v>385</v>
      </c>
      <c r="K122" s="82" t="s">
        <v>428</v>
      </c>
      <c r="L122" s="86" t="s">
        <v>429</v>
      </c>
      <c r="M122" s="79"/>
      <c r="N122" s="84">
        <v>2</v>
      </c>
      <c r="O122" s="95"/>
      <c r="P122" s="80"/>
      <c r="Q122" s="84" t="s">
        <v>45</v>
      </c>
      <c r="R122" s="81"/>
    </row>
    <row r="123" spans="1:18" ht="37.15" customHeight="1">
      <c r="A123" s="90" t="s">
        <v>430</v>
      </c>
      <c r="B123" s="74" t="s">
        <v>53</v>
      </c>
      <c r="C123" s="75"/>
      <c r="D123" s="76" t="s">
        <v>39</v>
      </c>
      <c r="E123" s="77">
        <v>43537</v>
      </c>
      <c r="F123" s="77">
        <v>43574</v>
      </c>
      <c r="G123" s="74" t="s">
        <v>71</v>
      </c>
      <c r="H123" s="74" t="s">
        <v>431</v>
      </c>
      <c r="I123" s="74"/>
      <c r="J123" s="74" t="s">
        <v>56</v>
      </c>
      <c r="K123" s="74">
        <v>50543</v>
      </c>
      <c r="L123" s="96" t="s">
        <v>432</v>
      </c>
      <c r="M123" s="94"/>
      <c r="N123" s="76">
        <v>2</v>
      </c>
      <c r="O123" s="95"/>
      <c r="P123" s="80"/>
      <c r="Q123" s="76" t="s">
        <v>45</v>
      </c>
      <c r="R123" s="81"/>
    </row>
    <row r="124" spans="1:18" ht="37.15" customHeight="1">
      <c r="A124" s="89" t="s">
        <v>433</v>
      </c>
      <c r="B124" s="82" t="s">
        <v>53</v>
      </c>
      <c r="C124" s="83"/>
      <c r="D124" s="84" t="s">
        <v>39</v>
      </c>
      <c r="E124" s="85">
        <v>43543</v>
      </c>
      <c r="F124" s="85">
        <v>43574</v>
      </c>
      <c r="G124" s="82" t="s">
        <v>252</v>
      </c>
      <c r="H124" s="82" t="s">
        <v>434</v>
      </c>
      <c r="I124" s="82"/>
      <c r="J124" s="82" t="s">
        <v>385</v>
      </c>
      <c r="K124" s="82" t="s">
        <v>435</v>
      </c>
      <c r="L124" s="86" t="s">
        <v>436</v>
      </c>
      <c r="M124" s="79"/>
      <c r="N124" s="84">
        <v>2</v>
      </c>
      <c r="O124" s="95"/>
      <c r="P124" s="80"/>
      <c r="Q124" s="84" t="s">
        <v>45</v>
      </c>
      <c r="R124" s="81"/>
    </row>
    <row r="125" spans="1:18" ht="37.15" customHeight="1">
      <c r="A125" s="90" t="s">
        <v>437</v>
      </c>
      <c r="B125" s="74" t="s">
        <v>53</v>
      </c>
      <c r="C125" s="75"/>
      <c r="D125" s="76" t="s">
        <v>117</v>
      </c>
      <c r="E125" s="77">
        <v>43543</v>
      </c>
      <c r="F125" s="77">
        <v>43574</v>
      </c>
      <c r="G125" s="74" t="s">
        <v>354</v>
      </c>
      <c r="H125" s="74" t="s">
        <v>438</v>
      </c>
      <c r="I125" s="74"/>
      <c r="J125" s="74" t="s">
        <v>207</v>
      </c>
      <c r="K125" s="74" t="s">
        <v>439</v>
      </c>
      <c r="L125" s="78" t="s">
        <v>440</v>
      </c>
      <c r="M125" s="79"/>
      <c r="N125" s="76">
        <v>2</v>
      </c>
      <c r="O125" s="95"/>
      <c r="P125" s="80"/>
      <c r="Q125" s="76" t="s">
        <v>45</v>
      </c>
      <c r="R125" s="81"/>
    </row>
    <row r="126" spans="1:18" ht="37.15" customHeight="1">
      <c r="A126" s="89" t="s">
        <v>441</v>
      </c>
      <c r="B126" s="82" t="s">
        <v>53</v>
      </c>
      <c r="C126" s="83"/>
      <c r="D126" s="84" t="s">
        <v>39</v>
      </c>
      <c r="E126" s="85">
        <v>43544</v>
      </c>
      <c r="F126" s="85">
        <v>43575</v>
      </c>
      <c r="G126" s="82" t="s">
        <v>252</v>
      </c>
      <c r="H126" s="82" t="s">
        <v>248</v>
      </c>
      <c r="I126" s="82"/>
      <c r="J126" s="82" t="s">
        <v>385</v>
      </c>
      <c r="K126" s="82" t="s">
        <v>442</v>
      </c>
      <c r="L126" s="86" t="s">
        <v>443</v>
      </c>
      <c r="M126" s="79"/>
      <c r="N126" s="84">
        <v>2</v>
      </c>
      <c r="O126" s="95"/>
      <c r="P126" s="80"/>
      <c r="Q126" s="84" t="s">
        <v>45</v>
      </c>
      <c r="R126" s="81"/>
    </row>
    <row r="127" spans="1:18" ht="37.15" customHeight="1">
      <c r="A127" s="90" t="s">
        <v>444</v>
      </c>
      <c r="B127" s="74" t="s">
        <v>53</v>
      </c>
      <c r="C127" s="75"/>
      <c r="D127" s="76" t="s">
        <v>39</v>
      </c>
      <c r="E127" s="77">
        <v>43544</v>
      </c>
      <c r="F127" s="77">
        <v>43575</v>
      </c>
      <c r="G127" s="74" t="s">
        <v>71</v>
      </c>
      <c r="H127" s="74" t="s">
        <v>445</v>
      </c>
      <c r="I127" s="74"/>
      <c r="J127" s="74" t="s">
        <v>56</v>
      </c>
      <c r="K127" s="74">
        <v>504647</v>
      </c>
      <c r="L127" s="96" t="s">
        <v>446</v>
      </c>
      <c r="M127" s="94"/>
      <c r="N127" s="76">
        <v>2</v>
      </c>
      <c r="O127" s="95"/>
      <c r="P127" s="80"/>
      <c r="Q127" s="76" t="s">
        <v>45</v>
      </c>
      <c r="R127" s="81"/>
    </row>
    <row r="128" spans="1:18" ht="37.15" hidden="1" customHeight="1">
      <c r="A128" s="89" t="s">
        <v>447</v>
      </c>
      <c r="B128" s="82" t="s">
        <v>47</v>
      </c>
      <c r="C128" s="83"/>
      <c r="D128" s="84" t="s">
        <v>39</v>
      </c>
      <c r="E128" s="85">
        <v>43549</v>
      </c>
      <c r="F128" s="85">
        <v>43580</v>
      </c>
      <c r="G128" s="82" t="s">
        <v>252</v>
      </c>
      <c r="H128" s="82" t="s">
        <v>448</v>
      </c>
      <c r="I128" s="82"/>
      <c r="J128" s="82" t="s">
        <v>449</v>
      </c>
      <c r="K128" s="82" t="s">
        <v>386</v>
      </c>
      <c r="L128" s="86" t="s">
        <v>450</v>
      </c>
      <c r="M128" s="79"/>
      <c r="N128" s="84">
        <v>2</v>
      </c>
      <c r="O128" s="95"/>
      <c r="P128" s="80"/>
      <c r="Q128" s="84" t="s">
        <v>45</v>
      </c>
      <c r="R128" s="81"/>
    </row>
    <row r="129" spans="1:18" ht="37.15" customHeight="1">
      <c r="A129" s="90" t="s">
        <v>451</v>
      </c>
      <c r="B129" s="74" t="s">
        <v>53</v>
      </c>
      <c r="C129" s="75"/>
      <c r="D129" s="76" t="s">
        <v>39</v>
      </c>
      <c r="E129" s="77">
        <v>43550</v>
      </c>
      <c r="F129" s="77">
        <v>43581</v>
      </c>
      <c r="G129" s="74" t="s">
        <v>71</v>
      </c>
      <c r="H129" s="92" t="s">
        <v>234</v>
      </c>
      <c r="I129" s="92"/>
      <c r="J129" s="74" t="s">
        <v>385</v>
      </c>
      <c r="K129" s="74" t="s">
        <v>452</v>
      </c>
      <c r="L129" s="78" t="s">
        <v>453</v>
      </c>
      <c r="M129" s="79"/>
      <c r="N129" s="76">
        <v>2</v>
      </c>
      <c r="O129" s="95"/>
      <c r="P129" s="80"/>
      <c r="Q129" s="76" t="s">
        <v>45</v>
      </c>
      <c r="R129" s="81"/>
    </row>
    <row r="130" spans="1:18" ht="37.15" customHeight="1">
      <c r="A130" s="89" t="s">
        <v>454</v>
      </c>
      <c r="B130" s="82" t="s">
        <v>53</v>
      </c>
      <c r="C130" s="83"/>
      <c r="D130" s="84" t="s">
        <v>39</v>
      </c>
      <c r="E130" s="85">
        <v>43552</v>
      </c>
      <c r="F130" s="85">
        <v>43583</v>
      </c>
      <c r="G130" s="82" t="s">
        <v>71</v>
      </c>
      <c r="H130" s="91" t="s">
        <v>455</v>
      </c>
      <c r="I130" s="91"/>
      <c r="J130" s="82" t="s">
        <v>56</v>
      </c>
      <c r="K130" s="82">
        <v>504716</v>
      </c>
      <c r="L130" s="86" t="s">
        <v>456</v>
      </c>
      <c r="M130" s="79"/>
      <c r="N130" s="84">
        <v>2</v>
      </c>
      <c r="O130" s="95"/>
      <c r="P130" s="80"/>
      <c r="Q130" s="84" t="s">
        <v>45</v>
      </c>
      <c r="R130" s="81"/>
    </row>
    <row r="131" spans="1:18" ht="37.15" customHeight="1">
      <c r="A131" s="90" t="s">
        <v>457</v>
      </c>
      <c r="B131" s="74" t="s">
        <v>53</v>
      </c>
      <c r="C131" s="75"/>
      <c r="D131" s="76" t="s">
        <v>117</v>
      </c>
      <c r="E131" s="97" t="s">
        <v>458</v>
      </c>
      <c r="F131" s="77" t="s">
        <v>459</v>
      </c>
      <c r="G131" s="74" t="s">
        <v>252</v>
      </c>
      <c r="H131" s="74" t="s">
        <v>248</v>
      </c>
      <c r="I131" s="74"/>
      <c r="J131" s="74" t="s">
        <v>56</v>
      </c>
      <c r="K131" s="74" t="s">
        <v>452</v>
      </c>
      <c r="L131" s="78" t="s">
        <v>460</v>
      </c>
      <c r="M131" s="79"/>
      <c r="N131" s="76">
        <v>2</v>
      </c>
      <c r="O131" s="95"/>
      <c r="P131" s="80"/>
      <c r="Q131" s="76" t="s">
        <v>45</v>
      </c>
      <c r="R131" s="81"/>
    </row>
    <row r="132" spans="1:18" ht="37.15" customHeight="1">
      <c r="A132" s="89" t="s">
        <v>461</v>
      </c>
      <c r="B132" s="82" t="s">
        <v>53</v>
      </c>
      <c r="C132" s="83"/>
      <c r="D132" s="84" t="s">
        <v>117</v>
      </c>
      <c r="E132" s="85">
        <v>43558</v>
      </c>
      <c r="F132" s="85">
        <v>43588</v>
      </c>
      <c r="G132" s="82" t="s">
        <v>71</v>
      </c>
      <c r="H132" s="82" t="s">
        <v>462</v>
      </c>
      <c r="I132" s="82"/>
      <c r="J132" s="82" t="s">
        <v>56</v>
      </c>
      <c r="K132" s="82" t="s">
        <v>452</v>
      </c>
      <c r="L132" s="86" t="s">
        <v>463</v>
      </c>
      <c r="M132" s="79"/>
      <c r="N132" s="84">
        <v>2</v>
      </c>
      <c r="O132" s="95"/>
      <c r="P132" s="80"/>
      <c r="Q132" s="84" t="s">
        <v>45</v>
      </c>
      <c r="R132" s="81"/>
    </row>
    <row r="133" spans="1:18" ht="37.15" customHeight="1">
      <c r="A133" s="90" t="s">
        <v>464</v>
      </c>
      <c r="B133" s="74" t="s">
        <v>53</v>
      </c>
      <c r="C133" s="75"/>
      <c r="D133" s="76" t="s">
        <v>117</v>
      </c>
      <c r="E133" s="77">
        <v>43559</v>
      </c>
      <c r="F133" s="77">
        <v>43589</v>
      </c>
      <c r="G133" s="74" t="s">
        <v>252</v>
      </c>
      <c r="H133" s="74" t="s">
        <v>374</v>
      </c>
      <c r="I133" s="74"/>
      <c r="J133" s="74" t="s">
        <v>56</v>
      </c>
      <c r="K133" s="74" t="s">
        <v>452</v>
      </c>
      <c r="L133" s="78" t="s">
        <v>465</v>
      </c>
      <c r="M133" s="79"/>
      <c r="N133" s="76">
        <v>2</v>
      </c>
      <c r="O133" s="95"/>
      <c r="P133" s="80"/>
      <c r="Q133" s="76" t="s">
        <v>45</v>
      </c>
      <c r="R133" s="81"/>
    </row>
    <row r="134" spans="1:18" ht="37.15" customHeight="1">
      <c r="A134" s="89" t="s">
        <v>466</v>
      </c>
      <c r="B134" s="82" t="s">
        <v>53</v>
      </c>
      <c r="C134" s="83"/>
      <c r="D134" s="84" t="s">
        <v>39</v>
      </c>
      <c r="E134" s="85">
        <v>43559</v>
      </c>
      <c r="F134" s="85">
        <v>43589</v>
      </c>
      <c r="G134" s="82" t="s">
        <v>354</v>
      </c>
      <c r="H134" s="82" t="s">
        <v>467</v>
      </c>
      <c r="I134" s="82"/>
      <c r="J134" s="82" t="s">
        <v>385</v>
      </c>
      <c r="K134" s="82" t="s">
        <v>386</v>
      </c>
      <c r="L134" s="86" t="s">
        <v>468</v>
      </c>
      <c r="M134" s="79"/>
      <c r="N134" s="84">
        <v>2</v>
      </c>
      <c r="O134" s="95"/>
      <c r="P134" s="80"/>
      <c r="Q134" s="84" t="s">
        <v>45</v>
      </c>
      <c r="R134" s="81"/>
    </row>
    <row r="135" spans="1:18" ht="37.15" customHeight="1">
      <c r="A135" s="90" t="s">
        <v>469</v>
      </c>
      <c r="B135" s="74" t="s">
        <v>53</v>
      </c>
      <c r="C135" s="75"/>
      <c r="D135" s="76" t="s">
        <v>39</v>
      </c>
      <c r="E135" s="77">
        <v>43563</v>
      </c>
      <c r="F135" s="77">
        <v>43593</v>
      </c>
      <c r="G135" s="74" t="s">
        <v>252</v>
      </c>
      <c r="H135" s="74" t="s">
        <v>448</v>
      </c>
      <c r="I135" s="74"/>
      <c r="J135" s="74" t="s">
        <v>385</v>
      </c>
      <c r="K135" s="74" t="s">
        <v>386</v>
      </c>
      <c r="L135" s="78" t="s">
        <v>470</v>
      </c>
      <c r="M135" s="79"/>
      <c r="N135" s="76">
        <v>2</v>
      </c>
      <c r="O135" s="95"/>
      <c r="P135" s="80"/>
      <c r="Q135" s="76" t="s">
        <v>45</v>
      </c>
      <c r="R135" s="81"/>
    </row>
    <row r="136" spans="1:18" ht="37.15" customHeight="1">
      <c r="A136" s="89" t="s">
        <v>471</v>
      </c>
      <c r="B136" s="82" t="s">
        <v>53</v>
      </c>
      <c r="C136" s="83"/>
      <c r="D136" s="84" t="s">
        <v>39</v>
      </c>
      <c r="E136" s="85">
        <v>43566</v>
      </c>
      <c r="F136" s="85">
        <v>43596</v>
      </c>
      <c r="G136" s="82" t="s">
        <v>71</v>
      </c>
      <c r="H136" s="82" t="s">
        <v>445</v>
      </c>
      <c r="I136" s="82"/>
      <c r="J136" s="82" t="s">
        <v>56</v>
      </c>
      <c r="K136" s="82">
        <v>504815</v>
      </c>
      <c r="L136" s="86" t="s">
        <v>472</v>
      </c>
      <c r="M136" s="79"/>
      <c r="N136" s="84">
        <v>2</v>
      </c>
      <c r="O136" s="95"/>
      <c r="P136" s="80"/>
      <c r="Q136" s="84" t="s">
        <v>45</v>
      </c>
      <c r="R136" s="81"/>
    </row>
    <row r="137" spans="1:18" ht="37.15" customHeight="1">
      <c r="A137" s="90" t="s">
        <v>473</v>
      </c>
      <c r="B137" s="74" t="s">
        <v>53</v>
      </c>
      <c r="C137" s="75"/>
      <c r="D137" s="76" t="s">
        <v>39</v>
      </c>
      <c r="E137" s="77">
        <v>43566</v>
      </c>
      <c r="F137" s="77">
        <v>43596</v>
      </c>
      <c r="G137" s="74" t="s">
        <v>252</v>
      </c>
      <c r="H137" s="74" t="s">
        <v>434</v>
      </c>
      <c r="I137" s="74"/>
      <c r="J137" s="74" t="s">
        <v>56</v>
      </c>
      <c r="K137" s="74" t="s">
        <v>474</v>
      </c>
      <c r="L137" s="78" t="s">
        <v>475</v>
      </c>
      <c r="M137" s="79"/>
      <c r="N137" s="76">
        <v>2</v>
      </c>
      <c r="O137" s="95"/>
      <c r="P137" s="80"/>
      <c r="Q137" s="76" t="s">
        <v>45</v>
      </c>
      <c r="R137" s="81"/>
    </row>
    <row r="138" spans="1:18" ht="37.15" hidden="1" customHeight="1">
      <c r="A138" s="89" t="s">
        <v>476</v>
      </c>
      <c r="B138" s="82" t="s">
        <v>47</v>
      </c>
      <c r="C138" s="83"/>
      <c r="D138" s="84" t="s">
        <v>39</v>
      </c>
      <c r="E138" s="85">
        <v>43572</v>
      </c>
      <c r="F138" s="85">
        <v>43602</v>
      </c>
      <c r="G138" s="82" t="s">
        <v>71</v>
      </c>
      <c r="H138" s="91" t="s">
        <v>477</v>
      </c>
      <c r="I138" s="91"/>
      <c r="J138" s="82" t="s">
        <v>56</v>
      </c>
      <c r="K138" s="82" t="s">
        <v>386</v>
      </c>
      <c r="L138" s="86" t="s">
        <v>478</v>
      </c>
      <c r="M138" s="79"/>
      <c r="N138" s="84">
        <v>2</v>
      </c>
      <c r="O138" s="95"/>
      <c r="P138" s="80"/>
      <c r="Q138" s="84" t="s">
        <v>45</v>
      </c>
      <c r="R138" s="81"/>
    </row>
    <row r="139" spans="1:18" ht="37.15" customHeight="1">
      <c r="A139" s="90" t="s">
        <v>479</v>
      </c>
      <c r="B139" s="74" t="s">
        <v>53</v>
      </c>
      <c r="C139" s="75"/>
      <c r="D139" s="76" t="s">
        <v>39</v>
      </c>
      <c r="E139" s="77">
        <v>43577</v>
      </c>
      <c r="F139" s="77">
        <v>43607</v>
      </c>
      <c r="G139" s="74" t="s">
        <v>252</v>
      </c>
      <c r="H139" s="74" t="s">
        <v>248</v>
      </c>
      <c r="I139" s="74"/>
      <c r="J139" s="74" t="s">
        <v>385</v>
      </c>
      <c r="K139" s="74" t="s">
        <v>386</v>
      </c>
      <c r="L139" s="78" t="s">
        <v>480</v>
      </c>
      <c r="M139" s="79"/>
      <c r="N139" s="76">
        <v>2</v>
      </c>
      <c r="O139" s="95"/>
      <c r="P139" s="80"/>
      <c r="Q139" s="76" t="s">
        <v>45</v>
      </c>
      <c r="R139" s="81"/>
    </row>
    <row r="140" spans="1:18" ht="37.15" customHeight="1">
      <c r="A140" s="89" t="s">
        <v>481</v>
      </c>
      <c r="B140" s="82" t="s">
        <v>53</v>
      </c>
      <c r="C140" s="83"/>
      <c r="D140" s="84" t="s">
        <v>39</v>
      </c>
      <c r="E140" s="85">
        <v>43579</v>
      </c>
      <c r="F140" s="85">
        <v>43609</v>
      </c>
      <c r="G140" s="82" t="s">
        <v>252</v>
      </c>
      <c r="H140" s="82" t="s">
        <v>248</v>
      </c>
      <c r="I140" s="82"/>
      <c r="J140" s="82" t="s">
        <v>385</v>
      </c>
      <c r="K140" s="82" t="s">
        <v>386</v>
      </c>
      <c r="L140" s="86" t="s">
        <v>482</v>
      </c>
      <c r="M140" s="79"/>
      <c r="N140" s="84">
        <v>2</v>
      </c>
      <c r="O140" s="95"/>
      <c r="P140" s="80"/>
      <c r="Q140" s="84" t="s">
        <v>45</v>
      </c>
      <c r="R140" s="81"/>
    </row>
    <row r="141" spans="1:18" ht="37.15" customHeight="1">
      <c r="A141" s="90" t="s">
        <v>483</v>
      </c>
      <c r="B141" s="74" t="s">
        <v>53</v>
      </c>
      <c r="C141" s="75"/>
      <c r="D141" s="76" t="s">
        <v>39</v>
      </c>
      <c r="E141" s="77">
        <v>43579</v>
      </c>
      <c r="F141" s="77">
        <v>43609</v>
      </c>
      <c r="G141" s="74" t="s">
        <v>252</v>
      </c>
      <c r="H141" s="74" t="s">
        <v>484</v>
      </c>
      <c r="I141" s="74"/>
      <c r="J141" s="74" t="s">
        <v>385</v>
      </c>
      <c r="K141" s="74" t="s">
        <v>386</v>
      </c>
      <c r="L141" s="78" t="s">
        <v>485</v>
      </c>
      <c r="M141" s="79"/>
      <c r="N141" s="76">
        <v>2</v>
      </c>
      <c r="O141" s="95"/>
      <c r="P141" s="80"/>
      <c r="Q141" s="76" t="s">
        <v>45</v>
      </c>
      <c r="R141" s="81"/>
    </row>
    <row r="142" spans="1:18" ht="37.15" customHeight="1">
      <c r="A142" s="89" t="s">
        <v>486</v>
      </c>
      <c r="B142" s="82" t="s">
        <v>53</v>
      </c>
      <c r="C142" s="83"/>
      <c r="D142" s="84" t="s">
        <v>39</v>
      </c>
      <c r="E142" s="85">
        <v>43584</v>
      </c>
      <c r="F142" s="85">
        <v>43614</v>
      </c>
      <c r="G142" s="82" t="s">
        <v>71</v>
      </c>
      <c r="H142" s="82" t="s">
        <v>487</v>
      </c>
      <c r="I142" s="82"/>
      <c r="J142" s="82" t="s">
        <v>56</v>
      </c>
      <c r="K142" s="82">
        <v>504935</v>
      </c>
      <c r="L142" s="86" t="s">
        <v>488</v>
      </c>
      <c r="M142" s="79"/>
      <c r="N142" s="84">
        <v>2</v>
      </c>
      <c r="O142" s="95"/>
      <c r="P142" s="80"/>
      <c r="Q142" s="84" t="s">
        <v>45</v>
      </c>
      <c r="R142" s="81"/>
    </row>
    <row r="143" spans="1:18" ht="37.15" hidden="1" customHeight="1">
      <c r="A143" s="90" t="s">
        <v>353</v>
      </c>
      <c r="B143" s="74" t="s">
        <v>47</v>
      </c>
      <c r="C143" s="75"/>
      <c r="D143" s="76" t="s">
        <v>39</v>
      </c>
      <c r="E143" s="77">
        <v>43586</v>
      </c>
      <c r="F143" s="77">
        <v>43617</v>
      </c>
      <c r="G143" s="74" t="s">
        <v>71</v>
      </c>
      <c r="H143" s="92" t="s">
        <v>477</v>
      </c>
      <c r="I143" s="92"/>
      <c r="J143" s="74" t="s">
        <v>56</v>
      </c>
      <c r="K143" s="74">
        <v>504963</v>
      </c>
      <c r="L143" s="78" t="s">
        <v>489</v>
      </c>
      <c r="M143" s="79"/>
      <c r="N143" s="76">
        <v>2</v>
      </c>
      <c r="O143" s="95"/>
      <c r="P143" s="80"/>
      <c r="Q143" s="76" t="s">
        <v>45</v>
      </c>
      <c r="R143" s="81"/>
    </row>
    <row r="144" spans="1:18" ht="37.15" customHeight="1">
      <c r="A144" s="89" t="s">
        <v>358</v>
      </c>
      <c r="B144" s="82" t="s">
        <v>53</v>
      </c>
      <c r="C144" s="83"/>
      <c r="D144" s="84" t="s">
        <v>39</v>
      </c>
      <c r="E144" s="85">
        <v>43587</v>
      </c>
      <c r="F144" s="85">
        <v>43618</v>
      </c>
      <c r="G144" s="82" t="s">
        <v>60</v>
      </c>
      <c r="H144" s="82">
        <v>23493</v>
      </c>
      <c r="I144" s="82"/>
      <c r="J144" s="82" t="s">
        <v>385</v>
      </c>
      <c r="K144" s="82" t="s">
        <v>386</v>
      </c>
      <c r="L144" s="86" t="s">
        <v>490</v>
      </c>
      <c r="M144" s="79"/>
      <c r="N144" s="84">
        <v>2</v>
      </c>
      <c r="O144" s="95"/>
      <c r="P144" s="80"/>
      <c r="Q144" s="84" t="s">
        <v>45</v>
      </c>
      <c r="R144" s="81"/>
    </row>
    <row r="145" spans="1:18" ht="37.15" customHeight="1">
      <c r="A145" s="90" t="s">
        <v>360</v>
      </c>
      <c r="B145" s="74" t="s">
        <v>53</v>
      </c>
      <c r="C145" s="75"/>
      <c r="D145" s="76" t="s">
        <v>39</v>
      </c>
      <c r="E145" s="77">
        <v>43592</v>
      </c>
      <c r="F145" s="77">
        <v>43653</v>
      </c>
      <c r="G145" s="74" t="s">
        <v>491</v>
      </c>
      <c r="H145" s="74" t="s">
        <v>492</v>
      </c>
      <c r="I145" s="74"/>
      <c r="J145" s="74" t="s">
        <v>493</v>
      </c>
      <c r="K145" s="74" t="s">
        <v>42</v>
      </c>
      <c r="L145" s="78" t="s">
        <v>494</v>
      </c>
      <c r="M145" s="79"/>
      <c r="N145" s="76">
        <v>3</v>
      </c>
      <c r="O145" s="95"/>
      <c r="P145" s="80"/>
      <c r="Q145" s="76" t="s">
        <v>45</v>
      </c>
      <c r="R145" s="81"/>
    </row>
    <row r="146" spans="1:18" ht="37.15" customHeight="1">
      <c r="A146" s="89" t="s">
        <v>363</v>
      </c>
      <c r="B146" s="82" t="s">
        <v>53</v>
      </c>
      <c r="C146" s="83"/>
      <c r="D146" s="84" t="s">
        <v>39</v>
      </c>
      <c r="E146" s="85">
        <v>43594</v>
      </c>
      <c r="F146" s="85">
        <v>43625</v>
      </c>
      <c r="G146" s="82" t="s">
        <v>252</v>
      </c>
      <c r="H146" s="82" t="s">
        <v>248</v>
      </c>
      <c r="I146" s="82"/>
      <c r="J146" s="82" t="s">
        <v>385</v>
      </c>
      <c r="K146" s="82" t="s">
        <v>386</v>
      </c>
      <c r="L146" s="86" t="s">
        <v>495</v>
      </c>
      <c r="M146" s="79"/>
      <c r="N146" s="84">
        <v>2</v>
      </c>
      <c r="O146" s="95"/>
      <c r="P146" s="80"/>
      <c r="Q146" s="84" t="s">
        <v>45</v>
      </c>
      <c r="R146" s="81"/>
    </row>
    <row r="147" spans="1:18" ht="37.15" customHeight="1">
      <c r="A147" s="90" t="s">
        <v>496</v>
      </c>
      <c r="B147" s="74" t="s">
        <v>53</v>
      </c>
      <c r="C147" s="75"/>
      <c r="D147" s="76" t="s">
        <v>39</v>
      </c>
      <c r="E147" s="77">
        <v>43594</v>
      </c>
      <c r="F147" s="77">
        <v>43625</v>
      </c>
      <c r="G147" s="74" t="s">
        <v>71</v>
      </c>
      <c r="H147" s="74" t="s">
        <v>497</v>
      </c>
      <c r="I147" s="74"/>
      <c r="J147" s="74" t="s">
        <v>56</v>
      </c>
      <c r="K147" s="74" t="s">
        <v>345</v>
      </c>
      <c r="L147" s="78" t="s">
        <v>498</v>
      </c>
      <c r="M147" s="79"/>
      <c r="N147" s="76">
        <v>2</v>
      </c>
      <c r="O147" s="95"/>
      <c r="P147" s="80"/>
      <c r="Q147" s="76" t="s">
        <v>45</v>
      </c>
      <c r="R147" s="81"/>
    </row>
    <row r="148" spans="1:18" ht="37.15" customHeight="1">
      <c r="A148" s="89" t="s">
        <v>499</v>
      </c>
      <c r="B148" s="82" t="s">
        <v>53</v>
      </c>
      <c r="C148" s="83"/>
      <c r="D148" s="84" t="s">
        <v>39</v>
      </c>
      <c r="E148" s="85">
        <v>43598</v>
      </c>
      <c r="F148" s="85">
        <v>43629</v>
      </c>
      <c r="G148" s="82" t="s">
        <v>60</v>
      </c>
      <c r="H148" s="82">
        <v>2200</v>
      </c>
      <c r="I148" s="82"/>
      <c r="J148" s="82" t="s">
        <v>102</v>
      </c>
      <c r="K148" s="82" t="s">
        <v>386</v>
      </c>
      <c r="L148" s="86" t="s">
        <v>500</v>
      </c>
      <c r="M148" s="79"/>
      <c r="N148" s="84">
        <v>2</v>
      </c>
      <c r="O148" s="95"/>
      <c r="P148" s="80"/>
      <c r="Q148" s="84" t="s">
        <v>45</v>
      </c>
      <c r="R148" s="81"/>
    </row>
    <row r="149" spans="1:18" ht="37.15" customHeight="1">
      <c r="A149" s="90" t="s">
        <v>501</v>
      </c>
      <c r="B149" s="74" t="s">
        <v>53</v>
      </c>
      <c r="C149" s="75"/>
      <c r="D149" s="76" t="s">
        <v>39</v>
      </c>
      <c r="E149" s="77">
        <v>43600</v>
      </c>
      <c r="F149" s="77">
        <v>43631</v>
      </c>
      <c r="G149" s="74" t="s">
        <v>252</v>
      </c>
      <c r="H149" s="74" t="s">
        <v>448</v>
      </c>
      <c r="I149" s="74"/>
      <c r="J149" s="74" t="s">
        <v>56</v>
      </c>
      <c r="K149" s="74" t="s">
        <v>386</v>
      </c>
      <c r="L149" s="78" t="s">
        <v>502</v>
      </c>
      <c r="M149" s="79"/>
      <c r="N149" s="76">
        <v>2</v>
      </c>
      <c r="O149" s="95"/>
      <c r="P149" s="80"/>
      <c r="Q149" s="76" t="s">
        <v>45</v>
      </c>
      <c r="R149" s="81"/>
    </row>
    <row r="150" spans="1:18" ht="37.15" customHeight="1">
      <c r="A150" s="89" t="s">
        <v>503</v>
      </c>
      <c r="B150" s="82" t="s">
        <v>53</v>
      </c>
      <c r="C150" s="83"/>
      <c r="D150" s="84" t="s">
        <v>39</v>
      </c>
      <c r="E150" s="85">
        <v>43606</v>
      </c>
      <c r="F150" s="85">
        <v>43637</v>
      </c>
      <c r="G150" s="82" t="s">
        <v>60</v>
      </c>
      <c r="H150" s="82">
        <v>26490</v>
      </c>
      <c r="I150" s="82"/>
      <c r="J150" s="82" t="s">
        <v>56</v>
      </c>
      <c r="K150" s="82" t="s">
        <v>345</v>
      </c>
      <c r="L150" s="86" t="s">
        <v>504</v>
      </c>
      <c r="M150" s="79"/>
      <c r="N150" s="84">
        <v>2</v>
      </c>
      <c r="O150" s="95"/>
      <c r="P150" s="80"/>
      <c r="Q150" s="84" t="s">
        <v>45</v>
      </c>
      <c r="R150" s="81"/>
    </row>
    <row r="151" spans="1:18" ht="37.15" customHeight="1">
      <c r="A151" s="90" t="s">
        <v>505</v>
      </c>
      <c r="B151" s="74" t="s">
        <v>53</v>
      </c>
      <c r="C151" s="75"/>
      <c r="D151" s="76" t="s">
        <v>39</v>
      </c>
      <c r="E151" s="77">
        <v>43607</v>
      </c>
      <c r="F151" s="77">
        <v>43638</v>
      </c>
      <c r="G151" s="74" t="s">
        <v>71</v>
      </c>
      <c r="H151" s="92" t="s">
        <v>506</v>
      </c>
      <c r="I151" s="92"/>
      <c r="J151" s="74" t="s">
        <v>56</v>
      </c>
      <c r="K151" s="74">
        <v>112256</v>
      </c>
      <c r="L151" s="78" t="s">
        <v>507</v>
      </c>
      <c r="M151" s="79"/>
      <c r="N151" s="76">
        <v>2</v>
      </c>
      <c r="O151" s="95"/>
      <c r="P151" s="80"/>
      <c r="Q151" s="76" t="s">
        <v>45</v>
      </c>
      <c r="R151" s="81"/>
    </row>
    <row r="152" spans="1:18" ht="37.15" customHeight="1">
      <c r="A152" s="89" t="s">
        <v>508</v>
      </c>
      <c r="B152" s="82" t="s">
        <v>53</v>
      </c>
      <c r="C152" s="83"/>
      <c r="D152" s="84" t="s">
        <v>39</v>
      </c>
      <c r="E152" s="85">
        <v>43607</v>
      </c>
      <c r="F152" s="85">
        <v>43638</v>
      </c>
      <c r="G152" s="82" t="s">
        <v>71</v>
      </c>
      <c r="H152" s="82" t="s">
        <v>497</v>
      </c>
      <c r="I152" s="82"/>
      <c r="J152" s="82" t="s">
        <v>385</v>
      </c>
      <c r="K152" s="82" t="s">
        <v>386</v>
      </c>
      <c r="L152" s="86" t="s">
        <v>509</v>
      </c>
      <c r="M152" s="79"/>
      <c r="N152" s="84">
        <v>2</v>
      </c>
      <c r="O152" s="95"/>
      <c r="P152" s="80"/>
      <c r="Q152" s="84" t="s">
        <v>45</v>
      </c>
      <c r="R152" s="81"/>
    </row>
    <row r="153" spans="1:18" ht="37.15" customHeight="1">
      <c r="A153" s="90" t="s">
        <v>510</v>
      </c>
      <c r="B153" s="74" t="s">
        <v>53</v>
      </c>
      <c r="C153" s="75"/>
      <c r="D153" s="76" t="s">
        <v>39</v>
      </c>
      <c r="E153" s="77">
        <v>43607</v>
      </c>
      <c r="F153" s="77">
        <v>43638</v>
      </c>
      <c r="G153" s="74" t="s">
        <v>252</v>
      </c>
      <c r="H153" s="74" t="s">
        <v>448</v>
      </c>
      <c r="I153" s="74"/>
      <c r="J153" s="74" t="s">
        <v>385</v>
      </c>
      <c r="K153" s="74" t="s">
        <v>386</v>
      </c>
      <c r="L153" s="78" t="s">
        <v>511</v>
      </c>
      <c r="M153" s="79"/>
      <c r="N153" s="76">
        <v>2</v>
      </c>
      <c r="O153" s="95"/>
      <c r="P153" s="80"/>
      <c r="Q153" s="76" t="s">
        <v>45</v>
      </c>
      <c r="R153" s="81"/>
    </row>
    <row r="154" spans="1:18" ht="37.15" customHeight="1">
      <c r="A154" s="89" t="s">
        <v>512</v>
      </c>
      <c r="B154" s="82" t="s">
        <v>53</v>
      </c>
      <c r="C154" s="83"/>
      <c r="D154" s="84" t="s">
        <v>39</v>
      </c>
      <c r="E154" s="85">
        <v>43608</v>
      </c>
      <c r="F154" s="85">
        <v>43639</v>
      </c>
      <c r="G154" s="82" t="s">
        <v>71</v>
      </c>
      <c r="H154" s="82" t="s">
        <v>513</v>
      </c>
      <c r="I154" s="82"/>
      <c r="J154" s="82" t="s">
        <v>56</v>
      </c>
      <c r="K154" s="82" t="s">
        <v>514</v>
      </c>
      <c r="L154" s="86" t="s">
        <v>515</v>
      </c>
      <c r="M154" s="79"/>
      <c r="N154" s="84">
        <v>2</v>
      </c>
      <c r="O154" s="95"/>
      <c r="P154" s="80"/>
      <c r="Q154" s="84" t="s">
        <v>45</v>
      </c>
      <c r="R154" s="81"/>
    </row>
    <row r="155" spans="1:18" ht="37.15" hidden="1" customHeight="1">
      <c r="A155" s="74" t="s">
        <v>516</v>
      </c>
      <c r="B155" s="74" t="s">
        <v>47</v>
      </c>
      <c r="C155" s="75"/>
      <c r="D155" s="76" t="s">
        <v>39</v>
      </c>
      <c r="E155" s="77">
        <v>43608</v>
      </c>
      <c r="F155" s="77">
        <v>43639</v>
      </c>
      <c r="G155" s="74" t="s">
        <v>48</v>
      </c>
      <c r="H155" s="74">
        <v>200039664</v>
      </c>
      <c r="I155" s="74"/>
      <c r="J155" s="74" t="s">
        <v>56</v>
      </c>
      <c r="K155" s="74" t="s">
        <v>514</v>
      </c>
      <c r="L155" s="78" t="s">
        <v>517</v>
      </c>
      <c r="M155" s="79"/>
      <c r="N155" s="76">
        <v>2</v>
      </c>
      <c r="O155" s="95"/>
      <c r="P155" s="80"/>
      <c r="Q155" s="76" t="s">
        <v>45</v>
      </c>
      <c r="R155" s="81"/>
    </row>
    <row r="156" spans="1:18" ht="37.15" customHeight="1">
      <c r="A156" s="89" t="s">
        <v>518</v>
      </c>
      <c r="B156" s="82" t="s">
        <v>53</v>
      </c>
      <c r="C156" s="83"/>
      <c r="D156" s="84" t="s">
        <v>39</v>
      </c>
      <c r="E156" s="85">
        <v>43608</v>
      </c>
      <c r="F156" s="85">
        <v>43639</v>
      </c>
      <c r="G156" s="82" t="s">
        <v>60</v>
      </c>
      <c r="H156" s="82">
        <v>2076</v>
      </c>
      <c r="I156" s="82"/>
      <c r="J156" s="82" t="s">
        <v>385</v>
      </c>
      <c r="K156" s="82" t="s">
        <v>386</v>
      </c>
      <c r="L156" s="86" t="s">
        <v>95</v>
      </c>
      <c r="M156" s="79"/>
      <c r="N156" s="84">
        <v>2</v>
      </c>
      <c r="O156" s="95"/>
      <c r="P156" s="80"/>
      <c r="Q156" s="84" t="s">
        <v>45</v>
      </c>
      <c r="R156" s="81"/>
    </row>
    <row r="157" spans="1:18" ht="37.15" customHeight="1">
      <c r="A157" s="90" t="s">
        <v>519</v>
      </c>
      <c r="B157" s="74" t="s">
        <v>53</v>
      </c>
      <c r="C157" s="75"/>
      <c r="D157" s="76" t="s">
        <v>39</v>
      </c>
      <c r="E157" s="77">
        <v>43609</v>
      </c>
      <c r="F157" s="77">
        <v>43640</v>
      </c>
      <c r="G157" s="74" t="s">
        <v>252</v>
      </c>
      <c r="H157" s="74" t="s">
        <v>520</v>
      </c>
      <c r="I157" s="74"/>
      <c r="J157" s="74" t="s">
        <v>56</v>
      </c>
      <c r="K157" s="74" t="s">
        <v>452</v>
      </c>
      <c r="L157" s="78" t="s">
        <v>521</v>
      </c>
      <c r="M157" s="79"/>
      <c r="N157" s="76">
        <v>2</v>
      </c>
      <c r="O157" s="95"/>
      <c r="P157" s="80"/>
      <c r="Q157" s="76" t="s">
        <v>45</v>
      </c>
      <c r="R157" s="81"/>
    </row>
    <row r="158" spans="1:18" ht="37.15" customHeight="1">
      <c r="A158" s="89" t="s">
        <v>522</v>
      </c>
      <c r="B158" s="82" t="s">
        <v>53</v>
      </c>
      <c r="C158" s="83"/>
      <c r="D158" s="84" t="s">
        <v>39</v>
      </c>
      <c r="E158" s="85">
        <v>43612</v>
      </c>
      <c r="F158" s="85">
        <v>43643</v>
      </c>
      <c r="G158" s="82" t="s">
        <v>71</v>
      </c>
      <c r="H158" s="82" t="s">
        <v>523</v>
      </c>
      <c r="I158" s="82"/>
      <c r="J158" s="82" t="s">
        <v>56</v>
      </c>
      <c r="K158" s="82">
        <v>505177</v>
      </c>
      <c r="L158" s="86" t="s">
        <v>524</v>
      </c>
      <c r="M158" s="79"/>
      <c r="N158" s="84">
        <v>2</v>
      </c>
      <c r="O158" s="95"/>
      <c r="P158" s="80"/>
      <c r="Q158" s="84" t="s">
        <v>45</v>
      </c>
      <c r="R158" s="81"/>
    </row>
    <row r="159" spans="1:18" ht="37.15" customHeight="1">
      <c r="A159" s="90" t="s">
        <v>525</v>
      </c>
      <c r="B159" s="74" t="s">
        <v>53</v>
      </c>
      <c r="C159" s="75"/>
      <c r="D159" s="76" t="s">
        <v>39</v>
      </c>
      <c r="E159" s="77">
        <v>43613</v>
      </c>
      <c r="F159" s="77">
        <v>43644</v>
      </c>
      <c r="G159" s="74" t="s">
        <v>60</v>
      </c>
      <c r="H159" s="74" t="s">
        <v>526</v>
      </c>
      <c r="I159" s="74"/>
      <c r="J159" s="74" t="s">
        <v>527</v>
      </c>
      <c r="K159" s="74" t="s">
        <v>386</v>
      </c>
      <c r="L159" s="78" t="s">
        <v>528</v>
      </c>
      <c r="M159" s="79"/>
      <c r="N159" s="76">
        <v>2</v>
      </c>
      <c r="O159" s="95"/>
      <c r="P159" s="80"/>
      <c r="Q159" s="76" t="s">
        <v>45</v>
      </c>
      <c r="R159" s="81"/>
    </row>
    <row r="160" spans="1:18" ht="37.15" customHeight="1">
      <c r="A160" s="89" t="s">
        <v>529</v>
      </c>
      <c r="B160" s="82" t="s">
        <v>53</v>
      </c>
      <c r="C160" s="83"/>
      <c r="D160" s="84" t="s">
        <v>39</v>
      </c>
      <c r="E160" s="85">
        <v>43613</v>
      </c>
      <c r="F160" s="85">
        <v>43644</v>
      </c>
      <c r="G160" s="82" t="s">
        <v>71</v>
      </c>
      <c r="H160" s="82" t="s">
        <v>530</v>
      </c>
      <c r="I160" s="82"/>
      <c r="J160" s="82" t="s">
        <v>56</v>
      </c>
      <c r="K160" s="82">
        <v>505191</v>
      </c>
      <c r="L160" s="86" t="s">
        <v>531</v>
      </c>
      <c r="M160" s="79"/>
      <c r="N160" s="84">
        <v>2</v>
      </c>
      <c r="O160" s="95"/>
      <c r="P160" s="80"/>
      <c r="Q160" s="84" t="s">
        <v>45</v>
      </c>
      <c r="R160" s="81"/>
    </row>
    <row r="161" spans="1:18" ht="37.15" customHeight="1">
      <c r="A161" s="90" t="s">
        <v>532</v>
      </c>
      <c r="B161" s="74" t="s">
        <v>53</v>
      </c>
      <c r="C161" s="75"/>
      <c r="D161" s="76" t="s">
        <v>117</v>
      </c>
      <c r="E161" s="77">
        <v>43614</v>
      </c>
      <c r="F161" s="77">
        <v>43645</v>
      </c>
      <c r="G161" s="74" t="s">
        <v>71</v>
      </c>
      <c r="H161" s="74" t="s">
        <v>533</v>
      </c>
      <c r="I161" s="74"/>
      <c r="J161" s="74" t="s">
        <v>534</v>
      </c>
      <c r="K161" s="74" t="s">
        <v>535</v>
      </c>
      <c r="L161" s="78" t="s">
        <v>536</v>
      </c>
      <c r="M161" s="79"/>
      <c r="N161" s="76">
        <v>2</v>
      </c>
      <c r="O161" s="95"/>
      <c r="P161" s="80"/>
      <c r="Q161" s="76" t="s">
        <v>45</v>
      </c>
      <c r="R161" s="81"/>
    </row>
    <row r="162" spans="1:18" ht="37.15" customHeight="1">
      <c r="A162" s="89" t="s">
        <v>537</v>
      </c>
      <c r="B162" s="82" t="s">
        <v>53</v>
      </c>
      <c r="C162" s="83"/>
      <c r="D162" s="84" t="s">
        <v>39</v>
      </c>
      <c r="E162" s="85">
        <v>43615</v>
      </c>
      <c r="F162" s="85">
        <v>43646</v>
      </c>
      <c r="G162" s="82" t="s">
        <v>60</v>
      </c>
      <c r="H162" s="82">
        <v>25938</v>
      </c>
      <c r="I162" s="82"/>
      <c r="J162" s="82" t="s">
        <v>385</v>
      </c>
      <c r="K162" s="82" t="s">
        <v>386</v>
      </c>
      <c r="L162" s="86" t="s">
        <v>538</v>
      </c>
      <c r="M162" s="79"/>
      <c r="N162" s="84">
        <v>2</v>
      </c>
      <c r="O162" s="95"/>
      <c r="P162" s="80"/>
      <c r="Q162" s="84" t="s">
        <v>45</v>
      </c>
      <c r="R162" s="81"/>
    </row>
    <row r="163" spans="1:18" ht="37.15" customHeight="1">
      <c r="A163" s="90" t="s">
        <v>539</v>
      </c>
      <c r="B163" s="74" t="s">
        <v>53</v>
      </c>
      <c r="C163" s="75"/>
      <c r="D163" s="76" t="s">
        <v>39</v>
      </c>
      <c r="E163" s="77">
        <v>43619</v>
      </c>
      <c r="F163" s="77">
        <v>43649</v>
      </c>
      <c r="G163" s="74" t="s">
        <v>60</v>
      </c>
      <c r="H163" s="74">
        <v>2076</v>
      </c>
      <c r="I163" s="74"/>
      <c r="J163" s="74" t="s">
        <v>385</v>
      </c>
      <c r="K163" s="74" t="s">
        <v>540</v>
      </c>
      <c r="L163" s="78" t="s">
        <v>541</v>
      </c>
      <c r="M163" s="79"/>
      <c r="N163" s="76">
        <v>2</v>
      </c>
      <c r="O163" s="95"/>
      <c r="P163" s="80"/>
      <c r="Q163" s="76" t="s">
        <v>45</v>
      </c>
      <c r="R163" s="81"/>
    </row>
    <row r="164" spans="1:18" ht="37.15" customHeight="1">
      <c r="A164" s="89" t="s">
        <v>542</v>
      </c>
      <c r="B164" s="82" t="s">
        <v>53</v>
      </c>
      <c r="C164" s="83"/>
      <c r="D164" s="84" t="s">
        <v>39</v>
      </c>
      <c r="E164" s="85">
        <v>43620</v>
      </c>
      <c r="F164" s="85">
        <v>43650</v>
      </c>
      <c r="G164" s="82" t="s">
        <v>252</v>
      </c>
      <c r="H164" s="82" t="s">
        <v>434</v>
      </c>
      <c r="I164" s="82"/>
      <c r="J164" s="82" t="s">
        <v>385</v>
      </c>
      <c r="K164" s="82" t="s">
        <v>386</v>
      </c>
      <c r="L164" s="86" t="s">
        <v>543</v>
      </c>
      <c r="M164" s="79"/>
      <c r="N164" s="84">
        <v>2</v>
      </c>
      <c r="O164" s="95"/>
      <c r="P164" s="80"/>
      <c r="Q164" s="84" t="s">
        <v>45</v>
      </c>
      <c r="R164" s="81"/>
    </row>
    <row r="165" spans="1:18" ht="37.15" hidden="1" customHeight="1">
      <c r="A165" s="90" t="s">
        <v>544</v>
      </c>
      <c r="B165" s="74" t="s">
        <v>38</v>
      </c>
      <c r="C165" s="75"/>
      <c r="D165" s="76" t="s">
        <v>117</v>
      </c>
      <c r="E165" s="77">
        <v>43621</v>
      </c>
      <c r="F165" s="77">
        <v>43621</v>
      </c>
      <c r="G165" s="74" t="s">
        <v>108</v>
      </c>
      <c r="H165" s="74" t="s">
        <v>545</v>
      </c>
      <c r="I165" s="74"/>
      <c r="J165" s="74" t="s">
        <v>546</v>
      </c>
      <c r="K165" s="74" t="s">
        <v>547</v>
      </c>
      <c r="L165" s="78" t="s">
        <v>548</v>
      </c>
      <c r="M165" s="79"/>
      <c r="N165" s="76">
        <v>2</v>
      </c>
      <c r="O165" s="95"/>
      <c r="P165" s="80"/>
      <c r="Q165" s="76" t="s">
        <v>45</v>
      </c>
      <c r="R165" s="81"/>
    </row>
    <row r="166" spans="1:18" ht="37.15" customHeight="1">
      <c r="A166" s="89" t="s">
        <v>549</v>
      </c>
      <c r="B166" s="82" t="s">
        <v>53</v>
      </c>
      <c r="C166" s="83"/>
      <c r="D166" s="84" t="s">
        <v>39</v>
      </c>
      <c r="E166" s="85">
        <v>43622</v>
      </c>
      <c r="F166" s="85">
        <v>43652</v>
      </c>
      <c r="G166" s="82" t="s">
        <v>71</v>
      </c>
      <c r="H166" s="82" t="s">
        <v>550</v>
      </c>
      <c r="I166" s="82"/>
      <c r="J166" s="82" t="s">
        <v>56</v>
      </c>
      <c r="K166" s="82">
        <v>952107</v>
      </c>
      <c r="L166" s="86" t="s">
        <v>551</v>
      </c>
      <c r="M166" s="79"/>
      <c r="N166" s="84">
        <v>2</v>
      </c>
      <c r="O166" s="95"/>
      <c r="P166" s="80"/>
      <c r="Q166" s="84" t="s">
        <v>45</v>
      </c>
      <c r="R166" s="81"/>
    </row>
    <row r="167" spans="1:18" ht="37.15" customHeight="1">
      <c r="A167" s="90" t="s">
        <v>552</v>
      </c>
      <c r="B167" s="74" t="s">
        <v>53</v>
      </c>
      <c r="C167" s="75"/>
      <c r="D167" s="76" t="s">
        <v>39</v>
      </c>
      <c r="E167" s="77">
        <v>43631</v>
      </c>
      <c r="F167" s="77">
        <v>43661</v>
      </c>
      <c r="G167" s="74" t="s">
        <v>71</v>
      </c>
      <c r="H167" s="92" t="s">
        <v>245</v>
      </c>
      <c r="I167" s="92"/>
      <c r="J167" s="74" t="s">
        <v>102</v>
      </c>
      <c r="K167" s="74">
        <v>890567</v>
      </c>
      <c r="L167" s="78" t="s">
        <v>553</v>
      </c>
      <c r="M167" s="79"/>
      <c r="N167" s="76">
        <v>2</v>
      </c>
      <c r="O167" s="95"/>
      <c r="P167" s="80"/>
      <c r="Q167" s="76" t="s">
        <v>45</v>
      </c>
      <c r="R167" s="81"/>
    </row>
    <row r="168" spans="1:18" ht="37.15" customHeight="1">
      <c r="A168" s="89" t="s">
        <v>554</v>
      </c>
      <c r="B168" s="82" t="s">
        <v>53</v>
      </c>
      <c r="C168" s="83"/>
      <c r="D168" s="84" t="s">
        <v>39</v>
      </c>
      <c r="E168" s="85">
        <v>43631</v>
      </c>
      <c r="F168" s="85">
        <v>43661</v>
      </c>
      <c r="G168" s="82" t="s">
        <v>71</v>
      </c>
      <c r="H168" s="82" t="s">
        <v>555</v>
      </c>
      <c r="I168" s="82"/>
      <c r="J168" s="82" t="s">
        <v>56</v>
      </c>
      <c r="K168" s="82" t="s">
        <v>556</v>
      </c>
      <c r="L168" s="86" t="s">
        <v>557</v>
      </c>
      <c r="M168" s="79"/>
      <c r="N168" s="84">
        <v>2</v>
      </c>
      <c r="O168" s="95"/>
      <c r="P168" s="80"/>
      <c r="Q168" s="84" t="s">
        <v>45</v>
      </c>
      <c r="R168" s="81"/>
    </row>
    <row r="169" spans="1:18" ht="37.15" customHeight="1">
      <c r="A169" s="90" t="s">
        <v>558</v>
      </c>
      <c r="B169" s="74" t="s">
        <v>53</v>
      </c>
      <c r="C169" s="75"/>
      <c r="D169" s="76" t="s">
        <v>39</v>
      </c>
      <c r="E169" s="77">
        <v>43635</v>
      </c>
      <c r="F169" s="77">
        <v>43665</v>
      </c>
      <c r="G169" s="74" t="s">
        <v>71</v>
      </c>
      <c r="H169" s="74" t="s">
        <v>445</v>
      </c>
      <c r="I169" s="74"/>
      <c r="J169" s="74" t="s">
        <v>559</v>
      </c>
      <c r="K169" s="74" t="s">
        <v>42</v>
      </c>
      <c r="L169" s="78" t="s">
        <v>560</v>
      </c>
      <c r="M169" s="79"/>
      <c r="N169" s="76">
        <v>2</v>
      </c>
      <c r="O169" s="95"/>
      <c r="P169" s="80"/>
      <c r="Q169" s="76" t="s">
        <v>45</v>
      </c>
      <c r="R169" s="81"/>
    </row>
    <row r="170" spans="1:18" ht="37.15" customHeight="1">
      <c r="A170" s="89" t="s">
        <v>561</v>
      </c>
      <c r="B170" s="82" t="s">
        <v>53</v>
      </c>
      <c r="C170" s="83"/>
      <c r="D170" s="84" t="s">
        <v>39</v>
      </c>
      <c r="E170" s="85">
        <v>43637</v>
      </c>
      <c r="F170" s="85">
        <v>43667</v>
      </c>
      <c r="G170" s="82" t="s">
        <v>71</v>
      </c>
      <c r="H170" s="82">
        <v>7479036292</v>
      </c>
      <c r="I170" s="82"/>
      <c r="J170" s="82" t="s">
        <v>56</v>
      </c>
      <c r="K170" s="82" t="s">
        <v>556</v>
      </c>
      <c r="L170" s="86" t="s">
        <v>562</v>
      </c>
      <c r="M170" s="79"/>
      <c r="N170" s="84">
        <v>2</v>
      </c>
      <c r="O170" s="95"/>
      <c r="P170" s="80"/>
      <c r="Q170" s="84" t="s">
        <v>45</v>
      </c>
      <c r="R170" s="81"/>
    </row>
    <row r="171" spans="1:18" ht="37.15" customHeight="1">
      <c r="A171" s="90" t="s">
        <v>563</v>
      </c>
      <c r="B171" s="74" t="s">
        <v>53</v>
      </c>
      <c r="C171" s="75"/>
      <c r="D171" s="76" t="s">
        <v>39</v>
      </c>
      <c r="E171" s="77">
        <v>43637</v>
      </c>
      <c r="F171" s="77">
        <v>43667</v>
      </c>
      <c r="G171" s="74" t="s">
        <v>252</v>
      </c>
      <c r="H171" s="74" t="s">
        <v>248</v>
      </c>
      <c r="I171" s="74"/>
      <c r="J171" s="74" t="s">
        <v>56</v>
      </c>
      <c r="K171" s="74" t="s">
        <v>386</v>
      </c>
      <c r="L171" s="78" t="s">
        <v>564</v>
      </c>
      <c r="M171" s="79"/>
      <c r="N171" s="76">
        <v>2</v>
      </c>
      <c r="O171" s="95"/>
      <c r="P171" s="80"/>
      <c r="Q171" s="76" t="s">
        <v>45</v>
      </c>
      <c r="R171" s="81"/>
    </row>
    <row r="172" spans="1:18" ht="37.15" customHeight="1">
      <c r="A172" s="89" t="s">
        <v>565</v>
      </c>
      <c r="B172" s="82" t="s">
        <v>53</v>
      </c>
      <c r="C172" s="83"/>
      <c r="D172" s="84" t="s">
        <v>39</v>
      </c>
      <c r="E172" s="85">
        <v>43640</v>
      </c>
      <c r="F172" s="85">
        <v>43670</v>
      </c>
      <c r="G172" s="82" t="s">
        <v>71</v>
      </c>
      <c r="H172" s="82" t="s">
        <v>566</v>
      </c>
      <c r="I172" s="82"/>
      <c r="J172" s="82" t="s">
        <v>56</v>
      </c>
      <c r="K172" s="82" t="s">
        <v>386</v>
      </c>
      <c r="L172" s="86" t="s">
        <v>567</v>
      </c>
      <c r="M172" s="79"/>
      <c r="N172" s="84">
        <v>2</v>
      </c>
      <c r="O172" s="95"/>
      <c r="P172" s="80"/>
      <c r="Q172" s="84" t="s">
        <v>45</v>
      </c>
      <c r="R172" s="81"/>
    </row>
    <row r="173" spans="1:18" ht="37.15" hidden="1" customHeight="1">
      <c r="A173" s="90" t="s">
        <v>568</v>
      </c>
      <c r="B173" s="74" t="s">
        <v>47</v>
      </c>
      <c r="C173" s="75"/>
      <c r="D173" s="76" t="s">
        <v>39</v>
      </c>
      <c r="E173" s="77">
        <v>43641</v>
      </c>
      <c r="F173" s="77">
        <v>43671</v>
      </c>
      <c r="G173" s="74" t="s">
        <v>71</v>
      </c>
      <c r="H173" s="74" t="s">
        <v>569</v>
      </c>
      <c r="I173" s="74"/>
      <c r="J173" s="74" t="s">
        <v>570</v>
      </c>
      <c r="K173" s="74" t="s">
        <v>386</v>
      </c>
      <c r="L173" s="78" t="s">
        <v>571</v>
      </c>
      <c r="M173" s="79"/>
      <c r="N173" s="76">
        <v>2</v>
      </c>
      <c r="O173" s="95"/>
      <c r="P173" s="80"/>
      <c r="Q173" s="76" t="s">
        <v>45</v>
      </c>
      <c r="R173" s="81"/>
    </row>
    <row r="174" spans="1:18" ht="37.15" customHeight="1">
      <c r="A174" s="89" t="s">
        <v>572</v>
      </c>
      <c r="B174" s="82" t="s">
        <v>53</v>
      </c>
      <c r="C174" s="83"/>
      <c r="D174" s="84" t="s">
        <v>39</v>
      </c>
      <c r="E174" s="85">
        <v>43642</v>
      </c>
      <c r="F174" s="85">
        <v>43672</v>
      </c>
      <c r="G174" s="82" t="s">
        <v>252</v>
      </c>
      <c r="H174" s="82" t="s">
        <v>573</v>
      </c>
      <c r="I174" s="82"/>
      <c r="J174" s="82" t="s">
        <v>385</v>
      </c>
      <c r="K174" s="82" t="s">
        <v>386</v>
      </c>
      <c r="L174" s="86" t="s">
        <v>574</v>
      </c>
      <c r="M174" s="79"/>
      <c r="N174" s="84">
        <v>2</v>
      </c>
      <c r="O174" s="95"/>
      <c r="P174" s="80"/>
      <c r="Q174" s="84" t="s">
        <v>45</v>
      </c>
      <c r="R174" s="81"/>
    </row>
    <row r="175" spans="1:18" ht="37.15" customHeight="1">
      <c r="A175" s="90" t="s">
        <v>575</v>
      </c>
      <c r="B175" s="74" t="s">
        <v>53</v>
      </c>
      <c r="C175" s="75"/>
      <c r="D175" s="76" t="s">
        <v>39</v>
      </c>
      <c r="E175" s="77">
        <v>43642</v>
      </c>
      <c r="F175" s="77">
        <v>43672</v>
      </c>
      <c r="G175" s="74" t="s">
        <v>71</v>
      </c>
      <c r="H175" s="92" t="s">
        <v>576</v>
      </c>
      <c r="I175" s="92"/>
      <c r="J175" s="74" t="s">
        <v>385</v>
      </c>
      <c r="K175" s="74">
        <v>505374</v>
      </c>
      <c r="L175" s="78" t="s">
        <v>577</v>
      </c>
      <c r="M175" s="79"/>
      <c r="N175" s="76">
        <v>2</v>
      </c>
      <c r="O175" s="95"/>
      <c r="P175" s="80"/>
      <c r="Q175" s="76" t="s">
        <v>45</v>
      </c>
      <c r="R175" s="81"/>
    </row>
    <row r="176" spans="1:18" ht="37.15" customHeight="1">
      <c r="A176" s="89" t="s">
        <v>578</v>
      </c>
      <c r="B176" s="82" t="s">
        <v>53</v>
      </c>
      <c r="C176" s="83"/>
      <c r="D176" s="84" t="s">
        <v>39</v>
      </c>
      <c r="E176" s="85">
        <v>43643</v>
      </c>
      <c r="F176" s="85">
        <v>43673</v>
      </c>
      <c r="G176" s="82" t="s">
        <v>71</v>
      </c>
      <c r="H176" s="91" t="s">
        <v>579</v>
      </c>
      <c r="I176" s="91"/>
      <c r="J176" s="82" t="s">
        <v>385</v>
      </c>
      <c r="K176" s="82">
        <v>505381</v>
      </c>
      <c r="L176" s="86" t="s">
        <v>580</v>
      </c>
      <c r="M176" s="79"/>
      <c r="N176" s="84">
        <v>2</v>
      </c>
      <c r="O176" s="95"/>
      <c r="P176" s="80"/>
      <c r="Q176" s="84" t="s">
        <v>45</v>
      </c>
      <c r="R176" s="81"/>
    </row>
    <row r="177" spans="1:18" ht="37.15" customHeight="1">
      <c r="A177" s="90" t="s">
        <v>581</v>
      </c>
      <c r="B177" s="74" t="s">
        <v>53</v>
      </c>
      <c r="C177" s="75"/>
      <c r="D177" s="76" t="s">
        <v>39</v>
      </c>
      <c r="E177" s="77">
        <v>43644</v>
      </c>
      <c r="F177" s="77">
        <v>43674</v>
      </c>
      <c r="G177" s="74" t="s">
        <v>71</v>
      </c>
      <c r="H177" s="74" t="s">
        <v>582</v>
      </c>
      <c r="I177" s="74"/>
      <c r="J177" s="74" t="s">
        <v>56</v>
      </c>
      <c r="K177" s="74" t="s">
        <v>42</v>
      </c>
      <c r="L177" s="78" t="s">
        <v>583</v>
      </c>
      <c r="M177" s="79"/>
      <c r="N177" s="76">
        <v>2</v>
      </c>
      <c r="O177" s="95"/>
      <c r="P177" s="80"/>
      <c r="Q177" s="76" t="s">
        <v>45</v>
      </c>
      <c r="R177" s="81"/>
    </row>
    <row r="178" spans="1:18" ht="37.15" customHeight="1">
      <c r="A178" s="89" t="s">
        <v>584</v>
      </c>
      <c r="B178" s="82" t="s">
        <v>53</v>
      </c>
      <c r="C178" s="83"/>
      <c r="D178" s="84" t="s">
        <v>39</v>
      </c>
      <c r="E178" s="85">
        <v>43644</v>
      </c>
      <c r="F178" s="85">
        <v>43674</v>
      </c>
      <c r="G178" s="82" t="s">
        <v>71</v>
      </c>
      <c r="H178" s="82" t="s">
        <v>304</v>
      </c>
      <c r="I178" s="82"/>
      <c r="J178" s="82" t="s">
        <v>56</v>
      </c>
      <c r="K178" s="82" t="s">
        <v>42</v>
      </c>
      <c r="L178" s="86" t="s">
        <v>585</v>
      </c>
      <c r="M178" s="79"/>
      <c r="N178" s="84">
        <v>2</v>
      </c>
      <c r="O178" s="95"/>
      <c r="P178" s="80"/>
      <c r="Q178" s="84" t="s">
        <v>45</v>
      </c>
      <c r="R178" s="81"/>
    </row>
    <row r="179" spans="1:18" ht="37.15" hidden="1" customHeight="1">
      <c r="A179" s="90" t="s">
        <v>586</v>
      </c>
      <c r="B179" s="74" t="s">
        <v>47</v>
      </c>
      <c r="C179" s="75"/>
      <c r="D179" s="76" t="s">
        <v>117</v>
      </c>
      <c r="E179" s="77">
        <v>43648</v>
      </c>
      <c r="F179" s="77">
        <v>43679</v>
      </c>
      <c r="G179" s="74" t="s">
        <v>71</v>
      </c>
      <c r="H179" s="74" t="s">
        <v>587</v>
      </c>
      <c r="I179" s="74"/>
      <c r="J179" s="74" t="s">
        <v>253</v>
      </c>
      <c r="K179" s="74" t="s">
        <v>386</v>
      </c>
      <c r="L179" s="78" t="s">
        <v>588</v>
      </c>
      <c r="M179" s="79"/>
      <c r="N179" s="76">
        <v>2</v>
      </c>
      <c r="O179" s="95"/>
      <c r="P179" s="80"/>
      <c r="Q179" s="76" t="s">
        <v>45</v>
      </c>
      <c r="R179" s="81"/>
    </row>
    <row r="180" spans="1:18" ht="37.15" customHeight="1">
      <c r="A180" s="89" t="s">
        <v>589</v>
      </c>
      <c r="B180" s="82" t="s">
        <v>53</v>
      </c>
      <c r="C180" s="83"/>
      <c r="D180" s="84" t="s">
        <v>39</v>
      </c>
      <c r="E180" s="85">
        <v>43655</v>
      </c>
      <c r="F180" s="85">
        <v>43686</v>
      </c>
      <c r="G180" s="82" t="s">
        <v>252</v>
      </c>
      <c r="H180" s="82" t="s">
        <v>374</v>
      </c>
      <c r="I180" s="82"/>
      <c r="J180" s="82" t="s">
        <v>385</v>
      </c>
      <c r="K180" s="82" t="s">
        <v>386</v>
      </c>
      <c r="L180" s="86" t="s">
        <v>590</v>
      </c>
      <c r="M180" s="79"/>
      <c r="N180" s="84">
        <v>2</v>
      </c>
      <c r="O180" s="95"/>
      <c r="P180" s="80"/>
      <c r="Q180" s="84" t="s">
        <v>45</v>
      </c>
      <c r="R180" s="81"/>
    </row>
    <row r="181" spans="1:18" ht="37.15" customHeight="1">
      <c r="A181" s="90" t="s">
        <v>591</v>
      </c>
      <c r="B181" s="74" t="s">
        <v>53</v>
      </c>
      <c r="C181" s="75"/>
      <c r="D181" s="76" t="s">
        <v>39</v>
      </c>
      <c r="E181" s="77">
        <v>43656</v>
      </c>
      <c r="F181" s="77">
        <v>43687</v>
      </c>
      <c r="G181" s="74" t="s">
        <v>252</v>
      </c>
      <c r="H181" s="74" t="s">
        <v>484</v>
      </c>
      <c r="I181" s="74"/>
      <c r="J181" s="74" t="s">
        <v>385</v>
      </c>
      <c r="K181" s="74" t="s">
        <v>386</v>
      </c>
      <c r="L181" s="78" t="s">
        <v>592</v>
      </c>
      <c r="M181" s="79"/>
      <c r="N181" s="76">
        <v>2</v>
      </c>
      <c r="O181" s="95"/>
      <c r="P181" s="80"/>
      <c r="Q181" s="76" t="s">
        <v>45</v>
      </c>
      <c r="R181" s="81"/>
    </row>
    <row r="182" spans="1:18" ht="37.15" customHeight="1">
      <c r="A182" s="89" t="s">
        <v>593</v>
      </c>
      <c r="B182" s="82" t="s">
        <v>53</v>
      </c>
      <c r="C182" s="83"/>
      <c r="D182" s="84" t="s">
        <v>39</v>
      </c>
      <c r="E182" s="85">
        <v>43661</v>
      </c>
      <c r="F182" s="85">
        <v>43692</v>
      </c>
      <c r="G182" s="82" t="s">
        <v>252</v>
      </c>
      <c r="H182" s="82" t="s">
        <v>374</v>
      </c>
      <c r="I182" s="82"/>
      <c r="J182" s="82" t="s">
        <v>385</v>
      </c>
      <c r="K182" s="82" t="s">
        <v>386</v>
      </c>
      <c r="L182" s="86" t="s">
        <v>594</v>
      </c>
      <c r="M182" s="79"/>
      <c r="N182" s="84">
        <v>2</v>
      </c>
      <c r="O182" s="95"/>
      <c r="P182" s="80"/>
      <c r="Q182" s="84" t="s">
        <v>45</v>
      </c>
      <c r="R182" s="81"/>
    </row>
    <row r="183" spans="1:18" ht="37.15" hidden="1" customHeight="1">
      <c r="A183" s="90" t="s">
        <v>595</v>
      </c>
      <c r="B183" s="74" t="s">
        <v>47</v>
      </c>
      <c r="C183" s="75"/>
      <c r="D183" s="76" t="s">
        <v>117</v>
      </c>
      <c r="E183" s="77">
        <v>43668</v>
      </c>
      <c r="F183" s="77">
        <v>43708</v>
      </c>
      <c r="G183" s="74" t="s">
        <v>71</v>
      </c>
      <c r="H183" s="74" t="s">
        <v>596</v>
      </c>
      <c r="I183" s="74"/>
      <c r="J183" s="74" t="s">
        <v>385</v>
      </c>
      <c r="K183" s="74" t="s">
        <v>452</v>
      </c>
      <c r="L183" s="78" t="s">
        <v>597</v>
      </c>
      <c r="M183" s="79"/>
      <c r="N183" s="76">
        <v>5</v>
      </c>
      <c r="O183" s="95"/>
      <c r="P183" s="80"/>
      <c r="Q183" s="76" t="s">
        <v>45</v>
      </c>
      <c r="R183" s="81"/>
    </row>
    <row r="184" spans="1:18" ht="37.15" customHeight="1">
      <c r="A184" s="89" t="s">
        <v>598</v>
      </c>
      <c r="B184" s="82" t="s">
        <v>53</v>
      </c>
      <c r="C184" s="83"/>
      <c r="D184" s="84" t="s">
        <v>39</v>
      </c>
      <c r="E184" s="85">
        <v>43676</v>
      </c>
      <c r="F184" s="85">
        <v>43707</v>
      </c>
      <c r="G184" s="82" t="s">
        <v>71</v>
      </c>
      <c r="H184" s="82" t="s">
        <v>599</v>
      </c>
      <c r="I184" s="82"/>
      <c r="J184" s="82" t="s">
        <v>316</v>
      </c>
      <c r="K184" s="82">
        <v>505550</v>
      </c>
      <c r="L184" s="86" t="s">
        <v>600</v>
      </c>
      <c r="M184" s="79"/>
      <c r="N184" s="84">
        <v>2</v>
      </c>
      <c r="O184" s="95"/>
      <c r="P184" s="80"/>
      <c r="Q184" s="84" t="s">
        <v>45</v>
      </c>
      <c r="R184" s="81"/>
    </row>
    <row r="185" spans="1:18" ht="37.15" customHeight="1">
      <c r="A185" s="90" t="s">
        <v>601</v>
      </c>
      <c r="B185" s="74" t="s">
        <v>53</v>
      </c>
      <c r="C185" s="75"/>
      <c r="D185" s="76" t="s">
        <v>117</v>
      </c>
      <c r="E185" s="77">
        <v>43683</v>
      </c>
      <c r="F185" s="77">
        <v>43805</v>
      </c>
      <c r="G185" s="74" t="s">
        <v>71</v>
      </c>
      <c r="H185" s="74" t="s">
        <v>587</v>
      </c>
      <c r="I185" s="74"/>
      <c r="J185" s="74" t="s">
        <v>253</v>
      </c>
      <c r="K185" s="74" t="s">
        <v>602</v>
      </c>
      <c r="L185" s="78" t="s">
        <v>603</v>
      </c>
      <c r="M185" s="79"/>
      <c r="N185" s="76">
        <v>2</v>
      </c>
      <c r="O185" s="95"/>
      <c r="P185" s="80"/>
      <c r="Q185" s="76" t="s">
        <v>45</v>
      </c>
      <c r="R185" s="81"/>
    </row>
    <row r="186" spans="1:18" ht="37.15" customHeight="1">
      <c r="A186" s="89" t="s">
        <v>604</v>
      </c>
      <c r="B186" s="82" t="s">
        <v>53</v>
      </c>
      <c r="C186" s="83"/>
      <c r="D186" s="84" t="s">
        <v>39</v>
      </c>
      <c r="E186" s="85">
        <v>43689</v>
      </c>
      <c r="F186" s="85">
        <v>43720</v>
      </c>
      <c r="G186" s="82" t="s">
        <v>71</v>
      </c>
      <c r="H186" s="82" t="s">
        <v>493</v>
      </c>
      <c r="I186" s="82"/>
      <c r="J186" s="82" t="s">
        <v>605</v>
      </c>
      <c r="K186" s="82" t="s">
        <v>452</v>
      </c>
      <c r="L186" s="86" t="s">
        <v>606</v>
      </c>
      <c r="M186" s="79"/>
      <c r="N186" s="84">
        <v>2</v>
      </c>
      <c r="O186" s="95"/>
      <c r="P186" s="80"/>
      <c r="Q186" s="84" t="s">
        <v>45</v>
      </c>
      <c r="R186" s="81"/>
    </row>
    <row r="187" spans="1:18" ht="37.15" customHeight="1">
      <c r="A187" s="90" t="s">
        <v>607</v>
      </c>
      <c r="B187" s="74" t="s">
        <v>53</v>
      </c>
      <c r="C187" s="75"/>
      <c r="D187" s="76" t="s">
        <v>39</v>
      </c>
      <c r="E187" s="77">
        <v>43691</v>
      </c>
      <c r="F187" s="77">
        <v>43722</v>
      </c>
      <c r="G187" s="74" t="s">
        <v>252</v>
      </c>
      <c r="H187" s="74" t="s">
        <v>608</v>
      </c>
      <c r="I187" s="74"/>
      <c r="J187" s="74" t="s">
        <v>385</v>
      </c>
      <c r="K187" s="74" t="s">
        <v>386</v>
      </c>
      <c r="L187" s="78" t="s">
        <v>609</v>
      </c>
      <c r="M187" s="79"/>
      <c r="N187" s="76">
        <v>2</v>
      </c>
      <c r="O187" s="95"/>
      <c r="P187" s="80"/>
      <c r="Q187" s="76" t="s">
        <v>45</v>
      </c>
      <c r="R187" s="81"/>
    </row>
    <row r="188" spans="1:18" ht="37.15" customHeight="1">
      <c r="A188" s="89" t="s">
        <v>610</v>
      </c>
      <c r="B188" s="82" t="s">
        <v>53</v>
      </c>
      <c r="C188" s="83"/>
      <c r="D188" s="84" t="s">
        <v>39</v>
      </c>
      <c r="E188" s="85">
        <v>43691</v>
      </c>
      <c r="F188" s="85">
        <v>43722</v>
      </c>
      <c r="G188" s="82" t="s">
        <v>71</v>
      </c>
      <c r="H188" s="82" t="s">
        <v>611</v>
      </c>
      <c r="I188" s="82"/>
      <c r="J188" s="82" t="s">
        <v>385</v>
      </c>
      <c r="K188" s="82" t="s">
        <v>612</v>
      </c>
      <c r="L188" s="86" t="s">
        <v>613</v>
      </c>
      <c r="M188" s="79"/>
      <c r="N188" s="84">
        <v>2</v>
      </c>
      <c r="O188" s="95"/>
      <c r="P188" s="80"/>
      <c r="Q188" s="84" t="s">
        <v>45</v>
      </c>
      <c r="R188" s="81"/>
    </row>
    <row r="189" spans="1:18" ht="37.15" customHeight="1">
      <c r="A189" s="90" t="s">
        <v>614</v>
      </c>
      <c r="B189" s="74" t="s">
        <v>53</v>
      </c>
      <c r="C189" s="75"/>
      <c r="D189" s="76" t="s">
        <v>39</v>
      </c>
      <c r="E189" s="77">
        <v>43692</v>
      </c>
      <c r="F189" s="77">
        <v>43723</v>
      </c>
      <c r="G189" s="74" t="s">
        <v>252</v>
      </c>
      <c r="H189" s="74" t="s">
        <v>615</v>
      </c>
      <c r="I189" s="74"/>
      <c r="J189" s="74" t="s">
        <v>385</v>
      </c>
      <c r="K189" s="74" t="s">
        <v>386</v>
      </c>
      <c r="L189" s="78" t="s">
        <v>616</v>
      </c>
      <c r="M189" s="79"/>
      <c r="N189" s="76">
        <v>2</v>
      </c>
      <c r="O189" s="95"/>
      <c r="P189" s="80"/>
      <c r="Q189" s="76" t="s">
        <v>45</v>
      </c>
      <c r="R189" s="81"/>
    </row>
    <row r="190" spans="1:18" ht="37.15" customHeight="1">
      <c r="A190" s="89" t="s">
        <v>617</v>
      </c>
      <c r="B190" s="82" t="s">
        <v>53</v>
      </c>
      <c r="C190" s="83"/>
      <c r="D190" s="84" t="s">
        <v>117</v>
      </c>
      <c r="E190" s="85">
        <v>43726</v>
      </c>
      <c r="F190" s="85">
        <v>43756</v>
      </c>
      <c r="G190" s="82" t="s">
        <v>71</v>
      </c>
      <c r="H190" s="82" t="s">
        <v>497</v>
      </c>
      <c r="I190" s="82"/>
      <c r="J190" s="82" t="s">
        <v>618</v>
      </c>
      <c r="K190" s="82" t="s">
        <v>619</v>
      </c>
      <c r="L190" s="86" t="s">
        <v>620</v>
      </c>
      <c r="M190" s="79"/>
      <c r="N190" s="84">
        <v>2</v>
      </c>
      <c r="O190" s="95"/>
      <c r="P190" s="80"/>
      <c r="Q190" s="84" t="s">
        <v>45</v>
      </c>
      <c r="R190" s="81"/>
    </row>
    <row r="191" spans="1:18" ht="37.15" customHeight="1">
      <c r="A191" s="90" t="s">
        <v>621</v>
      </c>
      <c r="B191" s="74" t="s">
        <v>53</v>
      </c>
      <c r="C191" s="75"/>
      <c r="D191" s="76" t="s">
        <v>39</v>
      </c>
      <c r="E191" s="77">
        <v>43704</v>
      </c>
      <c r="F191" s="77">
        <v>43735</v>
      </c>
      <c r="G191" s="74" t="s">
        <v>60</v>
      </c>
      <c r="H191" s="74" t="s">
        <v>622</v>
      </c>
      <c r="I191" s="74"/>
      <c r="J191" s="74" t="s">
        <v>385</v>
      </c>
      <c r="K191" s="74" t="s">
        <v>386</v>
      </c>
      <c r="L191" s="78" t="s">
        <v>623</v>
      </c>
      <c r="M191" s="79"/>
      <c r="N191" s="76">
        <v>2</v>
      </c>
      <c r="O191" s="95"/>
      <c r="P191" s="80"/>
      <c r="Q191" s="76" t="s">
        <v>45</v>
      </c>
      <c r="R191" s="81"/>
    </row>
    <row r="192" spans="1:18" ht="37.15" customHeight="1">
      <c r="A192" s="89" t="s">
        <v>624</v>
      </c>
      <c r="B192" s="82" t="s">
        <v>53</v>
      </c>
      <c r="C192" s="83"/>
      <c r="D192" s="84" t="s">
        <v>39</v>
      </c>
      <c r="E192" s="85">
        <v>43705</v>
      </c>
      <c r="F192" s="85">
        <v>43736</v>
      </c>
      <c r="G192" s="82" t="s">
        <v>71</v>
      </c>
      <c r="H192" s="82" t="s">
        <v>445</v>
      </c>
      <c r="I192" s="82"/>
      <c r="J192" s="82" t="s">
        <v>56</v>
      </c>
      <c r="K192" s="82">
        <v>505748</v>
      </c>
      <c r="L192" s="86" t="s">
        <v>625</v>
      </c>
      <c r="M192" s="79"/>
      <c r="N192" s="84">
        <v>2</v>
      </c>
      <c r="O192" s="95"/>
      <c r="P192" s="80"/>
      <c r="Q192" s="84" t="s">
        <v>45</v>
      </c>
      <c r="R192" s="81"/>
    </row>
    <row r="193" spans="1:18" ht="37.15" customHeight="1">
      <c r="A193" s="90" t="s">
        <v>626</v>
      </c>
      <c r="B193" s="74" t="s">
        <v>53</v>
      </c>
      <c r="C193" s="75"/>
      <c r="D193" s="76" t="s">
        <v>117</v>
      </c>
      <c r="E193" s="77">
        <v>43705</v>
      </c>
      <c r="F193" s="77">
        <v>43736</v>
      </c>
      <c r="G193" s="74" t="s">
        <v>60</v>
      </c>
      <c r="H193" s="74" t="s">
        <v>204</v>
      </c>
      <c r="I193" s="74"/>
      <c r="J193" s="74" t="s">
        <v>102</v>
      </c>
      <c r="K193" s="74" t="s">
        <v>386</v>
      </c>
      <c r="L193" s="78" t="s">
        <v>627</v>
      </c>
      <c r="M193" s="79"/>
      <c r="N193" s="76">
        <v>2</v>
      </c>
      <c r="O193" s="95"/>
      <c r="P193" s="80"/>
      <c r="Q193" s="76" t="s">
        <v>45</v>
      </c>
      <c r="R193" s="81"/>
    </row>
    <row r="194" spans="1:18" ht="37.15" hidden="1" customHeight="1">
      <c r="A194" s="89" t="s">
        <v>628</v>
      </c>
      <c r="B194" s="82" t="s">
        <v>47</v>
      </c>
      <c r="C194" s="83"/>
      <c r="D194" s="84" t="s">
        <v>39</v>
      </c>
      <c r="E194" s="85">
        <v>43706</v>
      </c>
      <c r="F194" s="85">
        <v>43737</v>
      </c>
      <c r="G194" s="82" t="s">
        <v>71</v>
      </c>
      <c r="H194" s="82"/>
      <c r="I194" s="82"/>
      <c r="J194" s="82" t="s">
        <v>56</v>
      </c>
      <c r="K194" s="82" t="s">
        <v>386</v>
      </c>
      <c r="L194" s="86" t="s">
        <v>629</v>
      </c>
      <c r="M194" s="79"/>
      <c r="N194" s="84">
        <v>2</v>
      </c>
      <c r="O194" s="95"/>
      <c r="P194" s="80"/>
      <c r="Q194" s="84" t="s">
        <v>45</v>
      </c>
      <c r="R194" s="81"/>
    </row>
    <row r="195" spans="1:18" ht="37.15" customHeight="1">
      <c r="A195" s="90" t="s">
        <v>630</v>
      </c>
      <c r="B195" s="74" t="s">
        <v>53</v>
      </c>
      <c r="C195" s="75"/>
      <c r="D195" s="76" t="s">
        <v>39</v>
      </c>
      <c r="E195" s="77">
        <v>43712</v>
      </c>
      <c r="F195" s="77">
        <v>43742</v>
      </c>
      <c r="G195" s="74" t="s">
        <v>252</v>
      </c>
      <c r="H195" s="74" t="s">
        <v>631</v>
      </c>
      <c r="I195" s="74"/>
      <c r="J195" s="74" t="s">
        <v>385</v>
      </c>
      <c r="K195" s="74" t="s">
        <v>386</v>
      </c>
      <c r="L195" s="78" t="s">
        <v>632</v>
      </c>
      <c r="M195" s="79"/>
      <c r="N195" s="76">
        <v>3</v>
      </c>
      <c r="O195" s="95"/>
      <c r="P195" s="80"/>
      <c r="Q195" s="76" t="s">
        <v>45</v>
      </c>
      <c r="R195" s="81"/>
    </row>
    <row r="196" spans="1:18" ht="37.15" hidden="1" customHeight="1">
      <c r="A196" s="89" t="s">
        <v>633</v>
      </c>
      <c r="B196" s="82" t="s">
        <v>47</v>
      </c>
      <c r="C196" s="83"/>
      <c r="D196" s="84" t="s">
        <v>39</v>
      </c>
      <c r="E196" s="85">
        <v>43714</v>
      </c>
      <c r="F196" s="85">
        <v>43744</v>
      </c>
      <c r="G196" s="82" t="s">
        <v>71</v>
      </c>
      <c r="H196" s="82" t="s">
        <v>634</v>
      </c>
      <c r="I196" s="82"/>
      <c r="J196" s="82" t="s">
        <v>385</v>
      </c>
      <c r="K196" s="82" t="s">
        <v>635</v>
      </c>
      <c r="L196" s="86" t="s">
        <v>636</v>
      </c>
      <c r="M196" s="79"/>
      <c r="N196" s="84">
        <v>3</v>
      </c>
      <c r="O196" s="95"/>
      <c r="P196" s="80"/>
      <c r="Q196" s="84" t="s">
        <v>45</v>
      </c>
      <c r="R196" s="81"/>
    </row>
    <row r="197" spans="1:18" ht="37.15" customHeight="1">
      <c r="A197" s="90" t="s">
        <v>637</v>
      </c>
      <c r="B197" s="74" t="s">
        <v>53</v>
      </c>
      <c r="C197" s="75"/>
      <c r="D197" s="76" t="s">
        <v>39</v>
      </c>
      <c r="E197" s="77">
        <v>43718</v>
      </c>
      <c r="F197" s="77">
        <v>43748</v>
      </c>
      <c r="G197" s="74" t="s">
        <v>252</v>
      </c>
      <c r="H197" s="74" t="s">
        <v>448</v>
      </c>
      <c r="I197" s="74"/>
      <c r="J197" s="74" t="s">
        <v>385</v>
      </c>
      <c r="K197" s="74" t="s">
        <v>638</v>
      </c>
      <c r="L197" s="78" t="s">
        <v>639</v>
      </c>
      <c r="M197" s="79"/>
      <c r="N197" s="76">
        <v>3</v>
      </c>
      <c r="O197" s="95"/>
      <c r="P197" s="80"/>
      <c r="Q197" s="76" t="s">
        <v>45</v>
      </c>
      <c r="R197" s="81"/>
    </row>
    <row r="198" spans="1:18" ht="37.15" customHeight="1">
      <c r="A198" s="89" t="s">
        <v>640</v>
      </c>
      <c r="B198" s="82" t="s">
        <v>53</v>
      </c>
      <c r="C198" s="83"/>
      <c r="D198" s="84" t="s">
        <v>39</v>
      </c>
      <c r="E198" s="85">
        <v>43721</v>
      </c>
      <c r="F198" s="85">
        <v>43751</v>
      </c>
      <c r="G198" s="82" t="s">
        <v>252</v>
      </c>
      <c r="H198" s="82" t="s">
        <v>641</v>
      </c>
      <c r="I198" s="82"/>
      <c r="J198" s="82" t="s">
        <v>385</v>
      </c>
      <c r="K198" s="82" t="s">
        <v>642</v>
      </c>
      <c r="L198" s="86" t="s">
        <v>643</v>
      </c>
      <c r="M198" s="79"/>
      <c r="N198" s="84">
        <v>3</v>
      </c>
      <c r="O198" s="95"/>
      <c r="P198" s="80"/>
      <c r="Q198" s="84" t="s">
        <v>45</v>
      </c>
      <c r="R198" s="81"/>
    </row>
    <row r="199" spans="1:18" ht="37.15" hidden="1" customHeight="1">
      <c r="A199" s="90" t="s">
        <v>644</v>
      </c>
      <c r="B199" s="74" t="s">
        <v>47</v>
      </c>
      <c r="C199" s="75"/>
      <c r="D199" s="76" t="s">
        <v>39</v>
      </c>
      <c r="E199" s="77">
        <v>43725</v>
      </c>
      <c r="F199" s="77">
        <v>43755</v>
      </c>
      <c r="G199" s="74" t="s">
        <v>71</v>
      </c>
      <c r="H199" s="74" t="s">
        <v>645</v>
      </c>
      <c r="I199" s="74"/>
      <c r="J199" s="74" t="s">
        <v>646</v>
      </c>
      <c r="K199" s="74" t="s">
        <v>647</v>
      </c>
      <c r="L199" s="78" t="s">
        <v>648</v>
      </c>
      <c r="M199" s="79"/>
      <c r="N199" s="76">
        <v>2</v>
      </c>
      <c r="O199" s="95"/>
      <c r="P199" s="80"/>
      <c r="Q199" s="76" t="s">
        <v>45</v>
      </c>
      <c r="R199" s="81"/>
    </row>
    <row r="200" spans="1:18" ht="37.15" hidden="1" customHeight="1">
      <c r="A200" s="89" t="s">
        <v>649</v>
      </c>
      <c r="B200" s="82" t="s">
        <v>47</v>
      </c>
      <c r="C200" s="83"/>
      <c r="D200" s="84" t="s">
        <v>39</v>
      </c>
      <c r="E200" s="85">
        <v>43725</v>
      </c>
      <c r="F200" s="85">
        <v>43755</v>
      </c>
      <c r="G200" s="82" t="s">
        <v>71</v>
      </c>
      <c r="H200" s="82" t="s">
        <v>650</v>
      </c>
      <c r="I200" s="82"/>
      <c r="J200" s="82" t="s">
        <v>56</v>
      </c>
      <c r="K200" s="82">
        <v>891065</v>
      </c>
      <c r="L200" s="86" t="s">
        <v>651</v>
      </c>
      <c r="M200" s="79"/>
      <c r="N200" s="84">
        <v>3</v>
      </c>
      <c r="O200" s="95"/>
      <c r="P200" s="80"/>
      <c r="Q200" s="84" t="s">
        <v>45</v>
      </c>
      <c r="R200" s="81"/>
    </row>
    <row r="201" spans="1:18" ht="37.15" customHeight="1">
      <c r="A201" s="90" t="s">
        <v>652</v>
      </c>
      <c r="B201" s="74" t="s">
        <v>53</v>
      </c>
      <c r="C201" s="75"/>
      <c r="D201" s="76" t="s">
        <v>39</v>
      </c>
      <c r="E201" s="77">
        <v>43726</v>
      </c>
      <c r="F201" s="77">
        <v>43756</v>
      </c>
      <c r="G201" s="74" t="s">
        <v>71</v>
      </c>
      <c r="H201" s="74" t="s">
        <v>653</v>
      </c>
      <c r="I201" s="74"/>
      <c r="J201" s="74" t="s">
        <v>654</v>
      </c>
      <c r="K201" s="74" t="s">
        <v>655</v>
      </c>
      <c r="L201" s="78" t="s">
        <v>656</v>
      </c>
      <c r="M201" s="79"/>
      <c r="N201" s="76">
        <v>3</v>
      </c>
      <c r="O201" s="95"/>
      <c r="P201" s="80"/>
      <c r="Q201" s="76" t="s">
        <v>45</v>
      </c>
      <c r="R201" s="81"/>
    </row>
    <row r="202" spans="1:18" ht="37.15" customHeight="1">
      <c r="A202" s="89" t="s">
        <v>657</v>
      </c>
      <c r="B202" s="82" t="s">
        <v>53</v>
      </c>
      <c r="C202" s="83"/>
      <c r="D202" s="84" t="s">
        <v>39</v>
      </c>
      <c r="E202" s="85">
        <v>43732</v>
      </c>
      <c r="F202" s="85">
        <v>43762</v>
      </c>
      <c r="G202" s="82" t="s">
        <v>252</v>
      </c>
      <c r="H202" s="82" t="s">
        <v>658</v>
      </c>
      <c r="I202" s="82"/>
      <c r="J202" s="82" t="s">
        <v>385</v>
      </c>
      <c r="K202" s="84" t="s">
        <v>659</v>
      </c>
      <c r="L202" s="86" t="s">
        <v>660</v>
      </c>
      <c r="M202" s="79"/>
      <c r="N202" s="84">
        <v>3</v>
      </c>
      <c r="O202" s="95"/>
      <c r="P202" s="80"/>
      <c r="Q202" s="84" t="s">
        <v>45</v>
      </c>
      <c r="R202" s="81"/>
    </row>
    <row r="203" spans="1:18" ht="37.15" hidden="1" customHeight="1">
      <c r="A203" s="90" t="s">
        <v>661</v>
      </c>
      <c r="B203" s="74" t="s">
        <v>47</v>
      </c>
      <c r="C203" s="75"/>
      <c r="D203" s="76" t="s">
        <v>39</v>
      </c>
      <c r="E203" s="77">
        <v>43732</v>
      </c>
      <c r="F203" s="77">
        <v>43762</v>
      </c>
      <c r="G203" s="74" t="s">
        <v>71</v>
      </c>
      <c r="H203" s="74" t="s">
        <v>662</v>
      </c>
      <c r="I203" s="74"/>
      <c r="J203" s="74" t="s">
        <v>385</v>
      </c>
      <c r="K203" s="74" t="s">
        <v>663</v>
      </c>
      <c r="L203" s="78" t="s">
        <v>664</v>
      </c>
      <c r="M203" s="79"/>
      <c r="N203" s="76">
        <v>3</v>
      </c>
      <c r="O203" s="95"/>
      <c r="P203" s="80"/>
      <c r="Q203" s="76" t="s">
        <v>45</v>
      </c>
      <c r="R203" s="81"/>
    </row>
    <row r="204" spans="1:18" ht="37.15" hidden="1" customHeight="1">
      <c r="A204" s="89" t="s">
        <v>665</v>
      </c>
      <c r="B204" s="82" t="s">
        <v>47</v>
      </c>
      <c r="C204" s="83"/>
      <c r="D204" s="84" t="s">
        <v>117</v>
      </c>
      <c r="E204" s="85">
        <v>43732</v>
      </c>
      <c r="F204" s="85">
        <v>43762</v>
      </c>
      <c r="G204" s="82" t="s">
        <v>71</v>
      </c>
      <c r="H204" s="82" t="s">
        <v>666</v>
      </c>
      <c r="I204" s="82"/>
      <c r="J204" s="82" t="s">
        <v>385</v>
      </c>
      <c r="K204" s="82"/>
      <c r="L204" s="86" t="s">
        <v>667</v>
      </c>
      <c r="M204" s="79"/>
      <c r="N204" s="84">
        <v>3</v>
      </c>
      <c r="O204" s="95"/>
      <c r="P204" s="80"/>
      <c r="Q204" s="84" t="s">
        <v>45</v>
      </c>
      <c r="R204" s="81"/>
    </row>
    <row r="205" spans="1:18" ht="37.15" hidden="1" customHeight="1">
      <c r="A205" s="90" t="s">
        <v>668</v>
      </c>
      <c r="B205" s="74" t="s">
        <v>47</v>
      </c>
      <c r="C205" s="75"/>
      <c r="D205" s="76" t="s">
        <v>117</v>
      </c>
      <c r="E205" s="77">
        <v>43733</v>
      </c>
      <c r="F205" s="77">
        <v>43763</v>
      </c>
      <c r="G205" s="74" t="s">
        <v>71</v>
      </c>
      <c r="H205" s="92" t="s">
        <v>669</v>
      </c>
      <c r="I205" s="92"/>
      <c r="J205" s="74" t="s">
        <v>385</v>
      </c>
      <c r="K205" s="74"/>
      <c r="L205" s="78" t="s">
        <v>667</v>
      </c>
      <c r="M205" s="79"/>
      <c r="N205" s="76">
        <v>3</v>
      </c>
      <c r="O205" s="95"/>
      <c r="P205" s="80"/>
      <c r="Q205" s="76" t="s">
        <v>45</v>
      </c>
      <c r="R205" s="81"/>
    </row>
    <row r="206" spans="1:18" ht="37.15" customHeight="1">
      <c r="A206" s="89" t="s">
        <v>670</v>
      </c>
      <c r="B206" s="82" t="s">
        <v>53</v>
      </c>
      <c r="C206" s="83"/>
      <c r="D206" s="84" t="s">
        <v>117</v>
      </c>
      <c r="E206" s="85">
        <v>43734</v>
      </c>
      <c r="F206" s="85">
        <v>43764</v>
      </c>
      <c r="G206" s="82" t="s">
        <v>252</v>
      </c>
      <c r="H206" s="82" t="s">
        <v>671</v>
      </c>
      <c r="I206" s="82"/>
      <c r="J206" s="82" t="s">
        <v>672</v>
      </c>
      <c r="K206" s="84" t="s">
        <v>659</v>
      </c>
      <c r="L206" s="86" t="s">
        <v>673</v>
      </c>
      <c r="M206" s="79"/>
      <c r="N206" s="84">
        <v>2</v>
      </c>
      <c r="O206" s="95"/>
      <c r="P206" s="80"/>
      <c r="Q206" s="84" t="s">
        <v>45</v>
      </c>
      <c r="R206" s="81"/>
    </row>
    <row r="207" spans="1:18" ht="37.15" customHeight="1">
      <c r="A207" s="90" t="s">
        <v>674</v>
      </c>
      <c r="B207" s="74" t="s">
        <v>53</v>
      </c>
      <c r="C207" s="75"/>
      <c r="D207" s="76" t="s">
        <v>39</v>
      </c>
      <c r="E207" s="77">
        <v>43746</v>
      </c>
      <c r="F207" s="77">
        <v>43777</v>
      </c>
      <c r="G207" s="74" t="s">
        <v>252</v>
      </c>
      <c r="H207" s="74" t="s">
        <v>675</v>
      </c>
      <c r="I207" s="74"/>
      <c r="J207" s="74" t="s">
        <v>385</v>
      </c>
      <c r="K207" s="74" t="s">
        <v>386</v>
      </c>
      <c r="L207" s="78" t="s">
        <v>676</v>
      </c>
      <c r="M207" s="79"/>
      <c r="N207" s="76">
        <v>3</v>
      </c>
      <c r="O207" s="95"/>
      <c r="P207" s="80"/>
      <c r="Q207" s="76" t="s">
        <v>45</v>
      </c>
      <c r="R207" s="81"/>
    </row>
    <row r="208" spans="1:18" ht="37.15" customHeight="1">
      <c r="A208" s="89" t="s">
        <v>677</v>
      </c>
      <c r="B208" s="82" t="s">
        <v>53</v>
      </c>
      <c r="C208" s="83"/>
      <c r="D208" s="84" t="s">
        <v>39</v>
      </c>
      <c r="E208" s="85">
        <v>43746</v>
      </c>
      <c r="F208" s="85">
        <v>43777</v>
      </c>
      <c r="G208" s="82" t="s">
        <v>252</v>
      </c>
      <c r="H208" s="82" t="s">
        <v>678</v>
      </c>
      <c r="I208" s="82"/>
      <c r="J208" s="82" t="s">
        <v>385</v>
      </c>
      <c r="K208" s="82" t="s">
        <v>386</v>
      </c>
      <c r="L208" s="86" t="s">
        <v>679</v>
      </c>
      <c r="M208" s="79"/>
      <c r="N208" s="84">
        <v>3</v>
      </c>
      <c r="O208" s="95"/>
      <c r="P208" s="80"/>
      <c r="Q208" s="84" t="s">
        <v>45</v>
      </c>
      <c r="R208" s="81"/>
    </row>
    <row r="209" spans="1:18" ht="37.15" customHeight="1">
      <c r="A209" s="90" t="s">
        <v>680</v>
      </c>
      <c r="B209" s="74" t="s">
        <v>53</v>
      </c>
      <c r="C209" s="75"/>
      <c r="D209" s="76" t="s">
        <v>117</v>
      </c>
      <c r="E209" s="77">
        <v>43748</v>
      </c>
      <c r="F209" s="77">
        <v>43779</v>
      </c>
      <c r="G209" s="74" t="s">
        <v>71</v>
      </c>
      <c r="H209" s="74" t="s">
        <v>681</v>
      </c>
      <c r="I209" s="74"/>
      <c r="J209" s="74" t="s">
        <v>385</v>
      </c>
      <c r="K209" s="74" t="s">
        <v>452</v>
      </c>
      <c r="L209" s="78" t="s">
        <v>682</v>
      </c>
      <c r="M209" s="79"/>
      <c r="N209" s="76">
        <v>3</v>
      </c>
      <c r="O209" s="95"/>
      <c r="P209" s="80"/>
      <c r="Q209" s="76" t="s">
        <v>45</v>
      </c>
      <c r="R209" s="81"/>
    </row>
    <row r="210" spans="1:18" ht="37.15" customHeight="1">
      <c r="A210" s="89" t="s">
        <v>683</v>
      </c>
      <c r="B210" s="82" t="s">
        <v>53</v>
      </c>
      <c r="C210" s="83"/>
      <c r="D210" s="84" t="s">
        <v>39</v>
      </c>
      <c r="E210" s="85">
        <v>43748</v>
      </c>
      <c r="F210" s="85">
        <v>43779</v>
      </c>
      <c r="G210" s="82" t="s">
        <v>71</v>
      </c>
      <c r="H210" s="82" t="s">
        <v>684</v>
      </c>
      <c r="I210" s="82"/>
      <c r="J210" s="82" t="s">
        <v>399</v>
      </c>
      <c r="K210" s="82" t="s">
        <v>685</v>
      </c>
      <c r="L210" s="86" t="s">
        <v>686</v>
      </c>
      <c r="M210" s="79"/>
      <c r="N210" s="84">
        <v>3</v>
      </c>
      <c r="O210" s="95"/>
      <c r="P210" s="80"/>
      <c r="Q210" s="84" t="s">
        <v>45</v>
      </c>
      <c r="R210" s="98">
        <v>43880</v>
      </c>
    </row>
    <row r="211" spans="1:18" ht="37.15" customHeight="1">
      <c r="A211" s="90" t="s">
        <v>687</v>
      </c>
      <c r="B211" s="74" t="s">
        <v>53</v>
      </c>
      <c r="C211" s="75"/>
      <c r="D211" s="76" t="s">
        <v>39</v>
      </c>
      <c r="E211" s="77">
        <v>43748</v>
      </c>
      <c r="F211" s="77">
        <v>43779</v>
      </c>
      <c r="G211" s="74" t="s">
        <v>71</v>
      </c>
      <c r="H211" s="74" t="s">
        <v>587</v>
      </c>
      <c r="I211" s="74"/>
      <c r="J211" s="74" t="s">
        <v>385</v>
      </c>
      <c r="K211" s="74" t="s">
        <v>688</v>
      </c>
      <c r="L211" s="78" t="s">
        <v>689</v>
      </c>
      <c r="M211" s="79"/>
      <c r="N211" s="76">
        <v>3</v>
      </c>
      <c r="O211" s="95"/>
      <c r="P211" s="80"/>
      <c r="Q211" s="76" t="s">
        <v>45</v>
      </c>
      <c r="R211" s="81"/>
    </row>
    <row r="212" spans="1:18" ht="37.15" customHeight="1">
      <c r="A212" s="89" t="s">
        <v>690</v>
      </c>
      <c r="B212" s="82" t="s">
        <v>53</v>
      </c>
      <c r="C212" s="83"/>
      <c r="D212" s="84" t="s">
        <v>39</v>
      </c>
      <c r="E212" s="85">
        <v>43748</v>
      </c>
      <c r="F212" s="85">
        <v>43779</v>
      </c>
      <c r="G212" s="82" t="s">
        <v>71</v>
      </c>
      <c r="H212" s="82" t="s">
        <v>691</v>
      </c>
      <c r="I212" s="82"/>
      <c r="J212" s="82" t="s">
        <v>385</v>
      </c>
      <c r="K212" s="82" t="s">
        <v>692</v>
      </c>
      <c r="L212" s="86" t="s">
        <v>693</v>
      </c>
      <c r="M212" s="79"/>
      <c r="N212" s="84">
        <v>3</v>
      </c>
      <c r="O212" s="95"/>
      <c r="P212" s="80"/>
      <c r="Q212" s="84" t="s">
        <v>45</v>
      </c>
      <c r="R212" s="81"/>
    </row>
    <row r="213" spans="1:18" ht="37.15" customHeight="1">
      <c r="A213" s="90" t="s">
        <v>694</v>
      </c>
      <c r="B213" s="74" t="s">
        <v>53</v>
      </c>
      <c r="C213" s="75"/>
      <c r="D213" s="76" t="s">
        <v>39</v>
      </c>
      <c r="E213" s="77">
        <v>43748</v>
      </c>
      <c r="F213" s="77">
        <v>43779</v>
      </c>
      <c r="G213" s="74" t="s">
        <v>71</v>
      </c>
      <c r="H213" s="74" t="s">
        <v>695</v>
      </c>
      <c r="I213" s="74"/>
      <c r="J213" s="74" t="s">
        <v>385</v>
      </c>
      <c r="K213" s="74" t="s">
        <v>696</v>
      </c>
      <c r="L213" s="78" t="s">
        <v>697</v>
      </c>
      <c r="M213" s="79"/>
      <c r="N213" s="76">
        <v>3</v>
      </c>
      <c r="O213" s="95"/>
      <c r="P213" s="80"/>
      <c r="Q213" s="76" t="s">
        <v>45</v>
      </c>
      <c r="R213" s="81"/>
    </row>
    <row r="214" spans="1:18" ht="37.15" customHeight="1">
      <c r="A214" s="89" t="s">
        <v>698</v>
      </c>
      <c r="B214" s="82" t="s">
        <v>53</v>
      </c>
      <c r="C214" s="83"/>
      <c r="D214" s="84" t="s">
        <v>39</v>
      </c>
      <c r="E214" s="85">
        <v>43748</v>
      </c>
      <c r="F214" s="85">
        <v>43779</v>
      </c>
      <c r="G214" s="82" t="s">
        <v>71</v>
      </c>
      <c r="H214" s="82" t="s">
        <v>587</v>
      </c>
      <c r="I214" s="82"/>
      <c r="J214" s="82" t="s">
        <v>385</v>
      </c>
      <c r="K214" s="82" t="s">
        <v>699</v>
      </c>
      <c r="L214" s="86" t="s">
        <v>700</v>
      </c>
      <c r="M214" s="79"/>
      <c r="N214" s="84">
        <v>3</v>
      </c>
      <c r="O214" s="95"/>
      <c r="P214" s="80"/>
      <c r="Q214" s="84" t="s">
        <v>45</v>
      </c>
      <c r="R214" s="81"/>
    </row>
    <row r="215" spans="1:18" ht="37.15" customHeight="1">
      <c r="A215" s="90" t="s">
        <v>701</v>
      </c>
      <c r="B215" s="74" t="s">
        <v>53</v>
      </c>
      <c r="C215" s="75"/>
      <c r="D215" s="76" t="s">
        <v>39</v>
      </c>
      <c r="E215" s="77">
        <v>43748</v>
      </c>
      <c r="F215" s="77">
        <v>43779</v>
      </c>
      <c r="G215" s="74" t="s">
        <v>71</v>
      </c>
      <c r="H215" s="74" t="s">
        <v>134</v>
      </c>
      <c r="I215" s="74"/>
      <c r="J215" s="74" t="s">
        <v>702</v>
      </c>
      <c r="K215" s="74" t="s">
        <v>703</v>
      </c>
      <c r="L215" s="78" t="s">
        <v>704</v>
      </c>
      <c r="M215" s="79"/>
      <c r="N215" s="76">
        <v>3</v>
      </c>
      <c r="O215" s="95"/>
      <c r="P215" s="80"/>
      <c r="Q215" s="76" t="s">
        <v>45</v>
      </c>
      <c r="R215" s="81"/>
    </row>
    <row r="216" spans="1:18" ht="37.15" customHeight="1">
      <c r="A216" s="89" t="s">
        <v>705</v>
      </c>
      <c r="B216" s="82" t="s">
        <v>53</v>
      </c>
      <c r="C216" s="83"/>
      <c r="D216" s="84" t="s">
        <v>39</v>
      </c>
      <c r="E216" s="85">
        <v>43748</v>
      </c>
      <c r="F216" s="85">
        <v>43779</v>
      </c>
      <c r="G216" s="82" t="s">
        <v>71</v>
      </c>
      <c r="H216" s="82" t="s">
        <v>706</v>
      </c>
      <c r="I216" s="82"/>
      <c r="J216" s="82" t="s">
        <v>385</v>
      </c>
      <c r="K216" s="82" t="s">
        <v>707</v>
      </c>
      <c r="L216" s="86" t="s">
        <v>708</v>
      </c>
      <c r="M216" s="79"/>
      <c r="N216" s="84">
        <v>3</v>
      </c>
      <c r="O216" s="95"/>
      <c r="P216" s="80"/>
      <c r="Q216" s="84" t="s">
        <v>45</v>
      </c>
      <c r="R216" s="81"/>
    </row>
    <row r="217" spans="1:18" ht="37.15" hidden="1" customHeight="1">
      <c r="A217" s="90" t="s">
        <v>709</v>
      </c>
      <c r="B217" s="74" t="s">
        <v>47</v>
      </c>
      <c r="C217" s="75"/>
      <c r="D217" s="76" t="s">
        <v>117</v>
      </c>
      <c r="E217" s="77">
        <v>43748</v>
      </c>
      <c r="F217" s="77">
        <v>43779</v>
      </c>
      <c r="G217" s="74" t="s">
        <v>71</v>
      </c>
      <c r="H217" s="74" t="s">
        <v>710</v>
      </c>
      <c r="I217" s="74"/>
      <c r="J217" s="74" t="s">
        <v>711</v>
      </c>
      <c r="K217" s="74"/>
      <c r="L217" s="78" t="s">
        <v>712</v>
      </c>
      <c r="M217" s="79"/>
      <c r="N217" s="76">
        <v>3</v>
      </c>
      <c r="O217" s="95"/>
      <c r="P217" s="80"/>
      <c r="Q217" s="76" t="s">
        <v>45</v>
      </c>
      <c r="R217" s="81"/>
    </row>
    <row r="218" spans="1:18" ht="37.15" customHeight="1">
      <c r="A218" s="89" t="s">
        <v>713</v>
      </c>
      <c r="B218" s="82" t="s">
        <v>53</v>
      </c>
      <c r="C218" s="83"/>
      <c r="D218" s="84" t="s">
        <v>117</v>
      </c>
      <c r="E218" s="85">
        <v>43755</v>
      </c>
      <c r="F218" s="85">
        <v>43786</v>
      </c>
      <c r="G218" s="82" t="s">
        <v>252</v>
      </c>
      <c r="H218" s="82" t="s">
        <v>714</v>
      </c>
      <c r="I218" s="82"/>
      <c r="J218" s="82" t="s">
        <v>385</v>
      </c>
      <c r="K218" s="82" t="s">
        <v>386</v>
      </c>
      <c r="L218" s="86" t="s">
        <v>715</v>
      </c>
      <c r="M218" s="79"/>
      <c r="N218" s="84">
        <v>3</v>
      </c>
      <c r="O218" s="95"/>
      <c r="P218" s="80"/>
      <c r="Q218" s="84" t="s">
        <v>45</v>
      </c>
      <c r="R218" s="81"/>
    </row>
    <row r="219" spans="1:18" ht="37.15" customHeight="1">
      <c r="A219" s="90" t="s">
        <v>716</v>
      </c>
      <c r="B219" s="74" t="s">
        <v>53</v>
      </c>
      <c r="C219" s="75"/>
      <c r="D219" s="76" t="s">
        <v>39</v>
      </c>
      <c r="E219" s="77">
        <v>43755</v>
      </c>
      <c r="F219" s="77">
        <v>43786</v>
      </c>
      <c r="G219" s="74" t="s">
        <v>252</v>
      </c>
      <c r="H219" s="74" t="s">
        <v>717</v>
      </c>
      <c r="I219" s="74"/>
      <c r="J219" s="74" t="s">
        <v>385</v>
      </c>
      <c r="K219" s="74" t="s">
        <v>386</v>
      </c>
      <c r="L219" s="78" t="s">
        <v>718</v>
      </c>
      <c r="M219" s="79"/>
      <c r="N219" s="76">
        <v>3</v>
      </c>
      <c r="O219" s="95"/>
      <c r="P219" s="80"/>
      <c r="Q219" s="76" t="s">
        <v>45</v>
      </c>
      <c r="R219" s="81"/>
    </row>
    <row r="220" spans="1:18" ht="37.15" customHeight="1">
      <c r="A220" s="89" t="s">
        <v>719</v>
      </c>
      <c r="B220" s="82" t="s">
        <v>53</v>
      </c>
      <c r="C220" s="83"/>
      <c r="D220" s="84" t="s">
        <v>39</v>
      </c>
      <c r="E220" s="85">
        <v>43756</v>
      </c>
      <c r="F220" s="85">
        <v>43787</v>
      </c>
      <c r="G220" s="82" t="s">
        <v>71</v>
      </c>
      <c r="H220" s="82" t="s">
        <v>445</v>
      </c>
      <c r="I220" s="82"/>
      <c r="J220" s="82" t="s">
        <v>385</v>
      </c>
      <c r="K220" s="82">
        <v>506226</v>
      </c>
      <c r="L220" s="86" t="s">
        <v>720</v>
      </c>
      <c r="M220" s="79"/>
      <c r="N220" s="84">
        <v>3</v>
      </c>
      <c r="O220" s="95"/>
      <c r="P220" s="80"/>
      <c r="Q220" s="84" t="s">
        <v>45</v>
      </c>
      <c r="R220" s="81"/>
    </row>
    <row r="221" spans="1:18" ht="37.15" customHeight="1">
      <c r="A221" s="90" t="s">
        <v>721</v>
      </c>
      <c r="B221" s="74" t="s">
        <v>53</v>
      </c>
      <c r="C221" s="75"/>
      <c r="D221" s="76" t="s">
        <v>39</v>
      </c>
      <c r="E221" s="77">
        <v>43761</v>
      </c>
      <c r="F221" s="77">
        <v>43792</v>
      </c>
      <c r="G221" s="74" t="s">
        <v>252</v>
      </c>
      <c r="H221" s="74" t="s">
        <v>722</v>
      </c>
      <c r="I221" s="74"/>
      <c r="J221" s="74" t="s">
        <v>385</v>
      </c>
      <c r="K221" s="74" t="s">
        <v>386</v>
      </c>
      <c r="L221" s="78" t="s">
        <v>723</v>
      </c>
      <c r="M221" s="79"/>
      <c r="N221" s="76">
        <v>3</v>
      </c>
      <c r="O221" s="95"/>
      <c r="P221" s="80"/>
      <c r="Q221" s="76" t="s">
        <v>45</v>
      </c>
      <c r="R221" s="81"/>
    </row>
    <row r="222" spans="1:18" ht="37.15" customHeight="1">
      <c r="A222" s="89" t="s">
        <v>724</v>
      </c>
      <c r="B222" s="82" t="s">
        <v>53</v>
      </c>
      <c r="C222" s="83"/>
      <c r="D222" s="84" t="s">
        <v>39</v>
      </c>
      <c r="E222" s="85">
        <v>43761</v>
      </c>
      <c r="F222" s="85">
        <v>43792</v>
      </c>
      <c r="G222" s="82" t="s">
        <v>71</v>
      </c>
      <c r="H222" s="82" t="s">
        <v>725</v>
      </c>
      <c r="I222" s="82"/>
      <c r="J222" s="82" t="s">
        <v>702</v>
      </c>
      <c r="K222" s="82" t="s">
        <v>726</v>
      </c>
      <c r="L222" s="86" t="s">
        <v>727</v>
      </c>
      <c r="M222" s="79"/>
      <c r="N222" s="84">
        <v>3</v>
      </c>
      <c r="O222" s="95"/>
      <c r="P222" s="80"/>
      <c r="Q222" s="84" t="s">
        <v>45</v>
      </c>
      <c r="R222" s="81"/>
    </row>
    <row r="223" spans="1:18" ht="37.15" customHeight="1">
      <c r="A223" s="90" t="s">
        <v>728</v>
      </c>
      <c r="B223" s="74" t="s">
        <v>53</v>
      </c>
      <c r="C223" s="75"/>
      <c r="D223" s="76" t="s">
        <v>39</v>
      </c>
      <c r="E223" s="77">
        <v>43766</v>
      </c>
      <c r="F223" s="77">
        <v>43797</v>
      </c>
      <c r="G223" s="74" t="s">
        <v>71</v>
      </c>
      <c r="H223" s="74" t="s">
        <v>729</v>
      </c>
      <c r="I223" s="74"/>
      <c r="J223" s="74" t="s">
        <v>399</v>
      </c>
      <c r="K223" s="74" t="s">
        <v>685</v>
      </c>
      <c r="L223" s="78" t="s">
        <v>686</v>
      </c>
      <c r="M223" s="79"/>
      <c r="N223" s="76">
        <v>3</v>
      </c>
      <c r="O223" s="95"/>
      <c r="P223" s="80"/>
      <c r="Q223" s="76" t="s">
        <v>45</v>
      </c>
      <c r="R223" s="81"/>
    </row>
    <row r="224" spans="1:18" ht="37.15" customHeight="1">
      <c r="A224" s="89" t="s">
        <v>730</v>
      </c>
      <c r="B224" s="82" t="s">
        <v>53</v>
      </c>
      <c r="C224" s="83"/>
      <c r="D224" s="84" t="s">
        <v>39</v>
      </c>
      <c r="E224" s="85">
        <v>43767</v>
      </c>
      <c r="F224" s="85">
        <v>43798</v>
      </c>
      <c r="G224" s="82" t="s">
        <v>71</v>
      </c>
      <c r="H224" s="91" t="s">
        <v>731</v>
      </c>
      <c r="I224" s="91"/>
      <c r="J224" s="82" t="s">
        <v>385</v>
      </c>
      <c r="K224" s="82" t="s">
        <v>732</v>
      </c>
      <c r="L224" s="86" t="s">
        <v>733</v>
      </c>
      <c r="M224" s="79"/>
      <c r="N224" s="84">
        <v>3</v>
      </c>
      <c r="O224" s="95"/>
      <c r="P224" s="80"/>
      <c r="Q224" s="84" t="s">
        <v>45</v>
      </c>
      <c r="R224" s="81"/>
    </row>
    <row r="225" spans="1:18" ht="37.15" customHeight="1">
      <c r="A225" s="90" t="s">
        <v>734</v>
      </c>
      <c r="B225" s="74" t="s">
        <v>53</v>
      </c>
      <c r="C225" s="75"/>
      <c r="D225" s="76" t="s">
        <v>39</v>
      </c>
      <c r="E225" s="77">
        <v>43768</v>
      </c>
      <c r="F225" s="77">
        <v>43799</v>
      </c>
      <c r="G225" s="74" t="s">
        <v>71</v>
      </c>
      <c r="H225" s="74" t="s">
        <v>735</v>
      </c>
      <c r="I225" s="74"/>
      <c r="J225" s="74" t="s">
        <v>228</v>
      </c>
      <c r="K225" s="74" t="s">
        <v>736</v>
      </c>
      <c r="L225" s="78" t="s">
        <v>737</v>
      </c>
      <c r="M225" s="79"/>
      <c r="N225" s="76">
        <v>3</v>
      </c>
      <c r="O225" s="95"/>
      <c r="P225" s="80"/>
      <c r="Q225" s="76" t="s">
        <v>45</v>
      </c>
      <c r="R225" s="81"/>
    </row>
    <row r="226" spans="1:18" ht="37.15" customHeight="1">
      <c r="A226" s="89" t="s">
        <v>738</v>
      </c>
      <c r="B226" s="82" t="s">
        <v>53</v>
      </c>
      <c r="C226" s="83"/>
      <c r="D226" s="84" t="s">
        <v>39</v>
      </c>
      <c r="E226" s="85">
        <v>43782</v>
      </c>
      <c r="F226" s="85">
        <v>43812</v>
      </c>
      <c r="G226" s="82" t="s">
        <v>71</v>
      </c>
      <c r="H226" s="82" t="s">
        <v>739</v>
      </c>
      <c r="I226" s="82"/>
      <c r="J226" s="82" t="s">
        <v>385</v>
      </c>
      <c r="K226" s="82" t="s">
        <v>740</v>
      </c>
      <c r="L226" s="86" t="s">
        <v>741</v>
      </c>
      <c r="M226" s="79"/>
      <c r="N226" s="84">
        <v>3</v>
      </c>
      <c r="O226" s="95"/>
      <c r="P226" s="80"/>
      <c r="Q226" s="84" t="s">
        <v>45</v>
      </c>
      <c r="R226" s="81"/>
    </row>
    <row r="227" spans="1:18" ht="37.15" customHeight="1">
      <c r="A227" s="90" t="s">
        <v>742</v>
      </c>
      <c r="B227" s="74" t="s">
        <v>53</v>
      </c>
      <c r="C227" s="75"/>
      <c r="D227" s="76" t="s">
        <v>39</v>
      </c>
      <c r="E227" s="77">
        <v>43768</v>
      </c>
      <c r="F227" s="77">
        <v>43799</v>
      </c>
      <c r="G227" s="74" t="s">
        <v>71</v>
      </c>
      <c r="H227" s="74" t="s">
        <v>743</v>
      </c>
      <c r="I227" s="74"/>
      <c r="J227" s="74" t="s">
        <v>744</v>
      </c>
      <c r="K227" s="74" t="s">
        <v>745</v>
      </c>
      <c r="L227" s="78" t="s">
        <v>746</v>
      </c>
      <c r="M227" s="79"/>
      <c r="N227" s="76">
        <v>3</v>
      </c>
      <c r="O227" s="95"/>
      <c r="P227" s="80"/>
      <c r="Q227" s="76" t="s">
        <v>45</v>
      </c>
      <c r="R227" s="81"/>
    </row>
    <row r="228" spans="1:18" ht="37.15" customHeight="1">
      <c r="A228" s="89" t="s">
        <v>747</v>
      </c>
      <c r="B228" s="82" t="s">
        <v>53</v>
      </c>
      <c r="C228" s="83"/>
      <c r="D228" s="84" t="s">
        <v>39</v>
      </c>
      <c r="E228" s="85">
        <v>43768</v>
      </c>
      <c r="F228" s="85">
        <v>43799</v>
      </c>
      <c r="G228" s="82" t="s">
        <v>71</v>
      </c>
      <c r="H228" s="82" t="s">
        <v>748</v>
      </c>
      <c r="I228" s="82"/>
      <c r="J228" s="82" t="s">
        <v>385</v>
      </c>
      <c r="K228" s="82" t="s">
        <v>749</v>
      </c>
      <c r="L228" s="86" t="s">
        <v>750</v>
      </c>
      <c r="M228" s="79"/>
      <c r="N228" s="84">
        <v>3</v>
      </c>
      <c r="O228" s="95"/>
      <c r="P228" s="80"/>
      <c r="Q228" s="84" t="s">
        <v>45</v>
      </c>
      <c r="R228" s="81"/>
    </row>
    <row r="229" spans="1:18" ht="37.15" customHeight="1">
      <c r="A229" s="90" t="s">
        <v>751</v>
      </c>
      <c r="B229" s="74" t="s">
        <v>53</v>
      </c>
      <c r="C229" s="75"/>
      <c r="D229" s="76" t="s">
        <v>39</v>
      </c>
      <c r="E229" s="77">
        <v>43768</v>
      </c>
      <c r="F229" s="77">
        <v>43799</v>
      </c>
      <c r="G229" s="74" t="s">
        <v>71</v>
      </c>
      <c r="H229" s="74" t="s">
        <v>752</v>
      </c>
      <c r="I229" s="74"/>
      <c r="J229" s="74" t="s">
        <v>385</v>
      </c>
      <c r="K229" s="74" t="s">
        <v>753</v>
      </c>
      <c r="L229" s="78" t="s">
        <v>754</v>
      </c>
      <c r="M229" s="79"/>
      <c r="N229" s="76">
        <v>3</v>
      </c>
      <c r="O229" s="95"/>
      <c r="P229" s="80"/>
      <c r="Q229" s="76" t="s">
        <v>45</v>
      </c>
      <c r="R229" s="81"/>
    </row>
    <row r="230" spans="1:18" ht="37.15" customHeight="1">
      <c r="A230" s="89" t="s">
        <v>755</v>
      </c>
      <c r="B230" s="82" t="s">
        <v>53</v>
      </c>
      <c r="C230" s="83"/>
      <c r="D230" s="84" t="s">
        <v>39</v>
      </c>
      <c r="E230" s="85">
        <v>43774</v>
      </c>
      <c r="F230" s="85">
        <v>43804</v>
      </c>
      <c r="G230" s="82" t="s">
        <v>252</v>
      </c>
      <c r="H230" s="82" t="s">
        <v>248</v>
      </c>
      <c r="I230" s="82"/>
      <c r="J230" s="82" t="s">
        <v>385</v>
      </c>
      <c r="K230" s="82" t="s">
        <v>386</v>
      </c>
      <c r="L230" s="86" t="s">
        <v>756</v>
      </c>
      <c r="M230" s="79"/>
      <c r="N230" s="84">
        <v>3</v>
      </c>
      <c r="O230" s="95"/>
      <c r="P230" s="80"/>
      <c r="Q230" s="84" t="s">
        <v>45</v>
      </c>
      <c r="R230" s="81"/>
    </row>
    <row r="231" spans="1:18" ht="37.15" customHeight="1">
      <c r="A231" s="90" t="s">
        <v>757</v>
      </c>
      <c r="B231" s="74" t="s">
        <v>53</v>
      </c>
      <c r="C231" s="75"/>
      <c r="D231" s="76" t="s">
        <v>39</v>
      </c>
      <c r="E231" s="77">
        <v>43782</v>
      </c>
      <c r="F231" s="77">
        <v>43812</v>
      </c>
      <c r="G231" s="74" t="s">
        <v>71</v>
      </c>
      <c r="H231" s="92" t="s">
        <v>758</v>
      </c>
      <c r="I231" s="92"/>
      <c r="J231" s="74" t="s">
        <v>385</v>
      </c>
      <c r="K231" s="74" t="s">
        <v>759</v>
      </c>
      <c r="L231" s="78" t="s">
        <v>760</v>
      </c>
      <c r="M231" s="79"/>
      <c r="N231" s="76">
        <v>3</v>
      </c>
      <c r="O231" s="95"/>
      <c r="P231" s="80"/>
      <c r="Q231" s="76" t="s">
        <v>45</v>
      </c>
      <c r="R231" s="81"/>
    </row>
    <row r="232" spans="1:18" ht="37.15" customHeight="1">
      <c r="A232" s="89" t="s">
        <v>761</v>
      </c>
      <c r="B232" s="82" t="s">
        <v>53</v>
      </c>
      <c r="C232" s="83"/>
      <c r="D232" s="84" t="s">
        <v>39</v>
      </c>
      <c r="E232" s="85">
        <v>43782</v>
      </c>
      <c r="F232" s="85">
        <v>43812</v>
      </c>
      <c r="G232" s="82" t="s">
        <v>71</v>
      </c>
      <c r="H232" s="91" t="s">
        <v>579</v>
      </c>
      <c r="I232" s="91"/>
      <c r="J232" s="82" t="s">
        <v>385</v>
      </c>
      <c r="K232" s="82" t="s">
        <v>762</v>
      </c>
      <c r="L232" s="86" t="s">
        <v>763</v>
      </c>
      <c r="M232" s="79"/>
      <c r="N232" s="84">
        <v>3</v>
      </c>
      <c r="O232" s="95"/>
      <c r="P232" s="80"/>
      <c r="Q232" s="84" t="s">
        <v>45</v>
      </c>
      <c r="R232" s="98">
        <v>43880</v>
      </c>
    </row>
    <row r="233" spans="1:18" ht="37.15" customHeight="1">
      <c r="A233" s="90" t="s">
        <v>764</v>
      </c>
      <c r="B233" s="74" t="s">
        <v>53</v>
      </c>
      <c r="C233" s="75"/>
      <c r="D233" s="76" t="s">
        <v>39</v>
      </c>
      <c r="E233" s="77">
        <v>43782</v>
      </c>
      <c r="F233" s="77">
        <v>43812</v>
      </c>
      <c r="G233" s="74" t="s">
        <v>71</v>
      </c>
      <c r="H233" s="92" t="s">
        <v>765</v>
      </c>
      <c r="I233" s="92"/>
      <c r="J233" s="74" t="s">
        <v>385</v>
      </c>
      <c r="K233" s="74" t="s">
        <v>766</v>
      </c>
      <c r="L233" s="96" t="s">
        <v>767</v>
      </c>
      <c r="M233" s="94"/>
      <c r="N233" s="76">
        <v>3</v>
      </c>
      <c r="O233" s="95"/>
      <c r="P233" s="80"/>
      <c r="Q233" s="76" t="s">
        <v>45</v>
      </c>
      <c r="R233" s="81"/>
    </row>
    <row r="234" spans="1:18" ht="37.15" customHeight="1">
      <c r="A234" s="89" t="s">
        <v>768</v>
      </c>
      <c r="B234" s="82" t="s">
        <v>53</v>
      </c>
      <c r="C234" s="83"/>
      <c r="D234" s="84" t="s">
        <v>117</v>
      </c>
      <c r="E234" s="85">
        <v>43782</v>
      </c>
      <c r="F234" s="85">
        <v>43812</v>
      </c>
      <c r="G234" s="82" t="s">
        <v>71</v>
      </c>
      <c r="H234" s="82" t="s">
        <v>769</v>
      </c>
      <c r="I234" s="82"/>
      <c r="J234" s="82" t="s">
        <v>385</v>
      </c>
      <c r="K234" s="82" t="s">
        <v>770</v>
      </c>
      <c r="L234" s="86" t="s">
        <v>771</v>
      </c>
      <c r="M234" s="79"/>
      <c r="N234" s="84">
        <v>3</v>
      </c>
      <c r="O234" s="95"/>
      <c r="P234" s="80"/>
      <c r="Q234" s="84" t="s">
        <v>45</v>
      </c>
      <c r="R234" s="81"/>
    </row>
    <row r="235" spans="1:18" ht="37.15" customHeight="1">
      <c r="A235" s="90" t="s">
        <v>772</v>
      </c>
      <c r="B235" s="74" t="s">
        <v>53</v>
      </c>
      <c r="C235" s="75"/>
      <c r="D235" s="76" t="s">
        <v>39</v>
      </c>
      <c r="E235" s="77">
        <v>43788</v>
      </c>
      <c r="F235" s="77">
        <v>43818</v>
      </c>
      <c r="G235" s="74" t="s">
        <v>71</v>
      </c>
      <c r="H235" s="74" t="s">
        <v>773</v>
      </c>
      <c r="I235" s="74"/>
      <c r="J235" s="74" t="s">
        <v>385</v>
      </c>
      <c r="K235" s="74" t="s">
        <v>774</v>
      </c>
      <c r="L235" s="78" t="s">
        <v>775</v>
      </c>
      <c r="M235" s="79"/>
      <c r="N235" s="76">
        <v>4</v>
      </c>
      <c r="O235" s="95"/>
      <c r="P235" s="80"/>
      <c r="Q235" s="76" t="s">
        <v>45</v>
      </c>
      <c r="R235" s="81" t="s">
        <v>776</v>
      </c>
    </row>
    <row r="236" spans="1:18" ht="37.15" customHeight="1">
      <c r="A236" s="89" t="s">
        <v>777</v>
      </c>
      <c r="B236" s="82" t="s">
        <v>53</v>
      </c>
      <c r="C236" s="83"/>
      <c r="D236" s="84" t="s">
        <v>39</v>
      </c>
      <c r="E236" s="85">
        <v>43789</v>
      </c>
      <c r="F236" s="85">
        <v>43819</v>
      </c>
      <c r="G236" s="82" t="s">
        <v>252</v>
      </c>
      <c r="H236" s="82" t="s">
        <v>248</v>
      </c>
      <c r="I236" s="82"/>
      <c r="J236" s="82" t="s">
        <v>385</v>
      </c>
      <c r="K236" s="99" t="s">
        <v>778</v>
      </c>
      <c r="L236" s="86" t="s">
        <v>779</v>
      </c>
      <c r="M236" s="79"/>
      <c r="N236" s="84">
        <v>4</v>
      </c>
      <c r="O236" s="95"/>
      <c r="P236" s="80"/>
      <c r="Q236" s="84" t="s">
        <v>45</v>
      </c>
      <c r="R236" s="81"/>
    </row>
    <row r="237" spans="1:18" ht="37.15" customHeight="1">
      <c r="A237" s="90" t="s">
        <v>780</v>
      </c>
      <c r="B237" s="74" t="s">
        <v>53</v>
      </c>
      <c r="C237" s="75"/>
      <c r="D237" s="76" t="s">
        <v>117</v>
      </c>
      <c r="E237" s="77">
        <v>43789</v>
      </c>
      <c r="F237" s="77">
        <v>43850</v>
      </c>
      <c r="G237" s="74" t="s">
        <v>71</v>
      </c>
      <c r="H237" s="74" t="s">
        <v>769</v>
      </c>
      <c r="I237" s="74"/>
      <c r="J237" s="74" t="s">
        <v>781</v>
      </c>
      <c r="K237" s="74" t="s">
        <v>770</v>
      </c>
      <c r="L237" s="78" t="s">
        <v>782</v>
      </c>
      <c r="M237" s="79"/>
      <c r="N237" s="76">
        <v>4</v>
      </c>
      <c r="O237" s="95"/>
      <c r="P237" s="80"/>
      <c r="Q237" s="76" t="s">
        <v>45</v>
      </c>
      <c r="R237" s="81" t="s">
        <v>776</v>
      </c>
    </row>
    <row r="238" spans="1:18" ht="37.15" hidden="1" customHeight="1">
      <c r="A238" s="89" t="s">
        <v>783</v>
      </c>
      <c r="B238" s="82" t="s">
        <v>47</v>
      </c>
      <c r="C238" s="83"/>
      <c r="D238" s="84" t="s">
        <v>39</v>
      </c>
      <c r="E238" s="85">
        <v>43791</v>
      </c>
      <c r="F238" s="85">
        <v>43821</v>
      </c>
      <c r="G238" s="82" t="s">
        <v>71</v>
      </c>
      <c r="H238" s="82" t="s">
        <v>784</v>
      </c>
      <c r="I238" s="82"/>
      <c r="J238" s="82" t="s">
        <v>385</v>
      </c>
      <c r="K238" s="82" t="s">
        <v>785</v>
      </c>
      <c r="L238" s="86" t="s">
        <v>786</v>
      </c>
      <c r="M238" s="79"/>
      <c r="N238" s="84">
        <v>3</v>
      </c>
      <c r="O238" s="95"/>
      <c r="P238" s="80"/>
      <c r="Q238" s="84" t="s">
        <v>45</v>
      </c>
      <c r="R238" s="81"/>
    </row>
    <row r="239" spans="1:18" ht="37.15" customHeight="1">
      <c r="A239" s="90" t="s">
        <v>787</v>
      </c>
      <c r="B239" s="74" t="s">
        <v>53</v>
      </c>
      <c r="C239" s="75"/>
      <c r="D239" s="76" t="s">
        <v>39</v>
      </c>
      <c r="E239" s="77">
        <v>43796</v>
      </c>
      <c r="F239" s="77">
        <v>43826</v>
      </c>
      <c r="G239" s="74" t="s">
        <v>252</v>
      </c>
      <c r="H239" s="74" t="s">
        <v>788</v>
      </c>
      <c r="I239" s="74"/>
      <c r="J239" s="74" t="s">
        <v>385</v>
      </c>
      <c r="K239" s="74" t="s">
        <v>386</v>
      </c>
      <c r="L239" s="78" t="s">
        <v>789</v>
      </c>
      <c r="M239" s="79"/>
      <c r="N239" s="76">
        <v>3</v>
      </c>
      <c r="O239" s="95"/>
      <c r="P239" s="80"/>
      <c r="Q239" s="76" t="s">
        <v>45</v>
      </c>
      <c r="R239" s="81" t="s">
        <v>776</v>
      </c>
    </row>
    <row r="240" spans="1:18" ht="37.15" customHeight="1">
      <c r="A240" s="89" t="s">
        <v>790</v>
      </c>
      <c r="B240" s="82" t="s">
        <v>53</v>
      </c>
      <c r="C240" s="83"/>
      <c r="D240" s="84" t="s">
        <v>39</v>
      </c>
      <c r="E240" s="85">
        <v>43796</v>
      </c>
      <c r="F240" s="85">
        <v>43826</v>
      </c>
      <c r="G240" s="82" t="s">
        <v>71</v>
      </c>
      <c r="H240" s="82" t="s">
        <v>791</v>
      </c>
      <c r="I240" s="82"/>
      <c r="J240" s="82" t="s">
        <v>792</v>
      </c>
      <c r="K240" s="82" t="s">
        <v>793</v>
      </c>
      <c r="L240" s="86" t="s">
        <v>794</v>
      </c>
      <c r="M240" s="79"/>
      <c r="N240" s="84">
        <v>3</v>
      </c>
      <c r="O240" s="95"/>
      <c r="P240" s="80"/>
      <c r="Q240" s="84" t="s">
        <v>45</v>
      </c>
      <c r="R240" s="81" t="s">
        <v>776</v>
      </c>
    </row>
    <row r="241" spans="1:19" ht="37.15" customHeight="1">
      <c r="A241" s="90" t="s">
        <v>795</v>
      </c>
      <c r="B241" s="74" t="s">
        <v>53</v>
      </c>
      <c r="C241" s="75"/>
      <c r="D241" s="76" t="s">
        <v>39</v>
      </c>
      <c r="E241" s="77">
        <v>43804</v>
      </c>
      <c r="F241" s="77">
        <v>43835</v>
      </c>
      <c r="G241" s="74" t="s">
        <v>71</v>
      </c>
      <c r="H241" s="74" t="s">
        <v>796</v>
      </c>
      <c r="I241" s="74"/>
      <c r="J241" s="74" t="s">
        <v>56</v>
      </c>
      <c r="K241" s="74" t="s">
        <v>797</v>
      </c>
      <c r="L241" s="78" t="s">
        <v>798</v>
      </c>
      <c r="M241" s="79"/>
      <c r="N241" s="76">
        <v>3</v>
      </c>
      <c r="O241" s="95"/>
      <c r="P241" s="80"/>
      <c r="Q241" s="76" t="s">
        <v>45</v>
      </c>
      <c r="R241" s="81" t="s">
        <v>776</v>
      </c>
    </row>
    <row r="242" spans="1:19" ht="37.15" customHeight="1">
      <c r="A242" s="89" t="s">
        <v>799</v>
      </c>
      <c r="B242" s="82" t="s">
        <v>53</v>
      </c>
      <c r="C242" s="83"/>
      <c r="D242" s="84" t="s">
        <v>39</v>
      </c>
      <c r="E242" s="85">
        <v>43804</v>
      </c>
      <c r="F242" s="85">
        <v>43835</v>
      </c>
      <c r="G242" s="82" t="s">
        <v>71</v>
      </c>
      <c r="H242" s="82" t="s">
        <v>800</v>
      </c>
      <c r="I242" s="82"/>
      <c r="J242" s="82" t="s">
        <v>56</v>
      </c>
      <c r="K242" s="82">
        <v>506611</v>
      </c>
      <c r="L242" s="86" t="s">
        <v>801</v>
      </c>
      <c r="M242" s="79"/>
      <c r="N242" s="84">
        <v>3</v>
      </c>
      <c r="O242" s="95"/>
      <c r="P242" s="80"/>
      <c r="Q242" s="84" t="s">
        <v>45</v>
      </c>
      <c r="R242" s="81" t="s">
        <v>776</v>
      </c>
    </row>
    <row r="243" spans="1:19" ht="37.15" hidden="1" customHeight="1">
      <c r="A243" s="74" t="s">
        <v>802</v>
      </c>
      <c r="B243" s="74" t="s">
        <v>47</v>
      </c>
      <c r="C243" s="75"/>
      <c r="D243" s="76" t="s">
        <v>39</v>
      </c>
      <c r="E243" s="77">
        <v>43805</v>
      </c>
      <c r="F243" s="77">
        <v>43836</v>
      </c>
      <c r="G243" s="74" t="s">
        <v>71</v>
      </c>
      <c r="H243" s="74" t="s">
        <v>803</v>
      </c>
      <c r="I243" s="74"/>
      <c r="J243" s="74" t="s">
        <v>56</v>
      </c>
      <c r="K243" s="74">
        <v>506583</v>
      </c>
      <c r="L243" s="78" t="s">
        <v>804</v>
      </c>
      <c r="M243" s="79"/>
      <c r="N243" s="76">
        <v>3</v>
      </c>
      <c r="O243" s="95"/>
      <c r="P243" s="80"/>
      <c r="Q243" s="76" t="s">
        <v>45</v>
      </c>
      <c r="R243" s="81"/>
    </row>
    <row r="244" spans="1:19" ht="37.15" hidden="1" customHeight="1">
      <c r="A244" s="82" t="s">
        <v>805</v>
      </c>
      <c r="B244" s="82" t="s">
        <v>47</v>
      </c>
      <c r="C244" s="83"/>
      <c r="D244" s="84" t="s">
        <v>117</v>
      </c>
      <c r="E244" s="85">
        <v>43808</v>
      </c>
      <c r="F244" s="85">
        <v>43839</v>
      </c>
      <c r="G244" s="82" t="s">
        <v>71</v>
      </c>
      <c r="H244" s="91" t="s">
        <v>806</v>
      </c>
      <c r="I244" s="91"/>
      <c r="J244" s="82" t="s">
        <v>56</v>
      </c>
      <c r="K244" s="82"/>
      <c r="L244" s="86" t="s">
        <v>667</v>
      </c>
      <c r="M244" s="79"/>
      <c r="N244" s="84">
        <v>3</v>
      </c>
      <c r="O244" s="95"/>
      <c r="P244" s="80"/>
      <c r="Q244" s="84" t="s">
        <v>45</v>
      </c>
      <c r="R244" s="81"/>
    </row>
    <row r="245" spans="1:19" ht="37.15" customHeight="1">
      <c r="A245" s="90" t="s">
        <v>807</v>
      </c>
      <c r="B245" s="74" t="s">
        <v>53</v>
      </c>
      <c r="C245" s="75"/>
      <c r="D245" s="76" t="s">
        <v>117</v>
      </c>
      <c r="E245" s="77">
        <v>43812</v>
      </c>
      <c r="F245" s="77">
        <v>43850</v>
      </c>
      <c r="G245" s="74" t="s">
        <v>71</v>
      </c>
      <c r="H245" s="74" t="s">
        <v>808</v>
      </c>
      <c r="I245" s="74"/>
      <c r="J245" s="74" t="s">
        <v>809</v>
      </c>
      <c r="K245" s="74" t="s">
        <v>810</v>
      </c>
      <c r="L245" s="78" t="s">
        <v>811</v>
      </c>
      <c r="M245" s="79"/>
      <c r="N245" s="76">
        <v>3</v>
      </c>
      <c r="O245" s="95"/>
      <c r="P245" s="80"/>
      <c r="Q245" s="76" t="s">
        <v>45</v>
      </c>
      <c r="R245" s="100">
        <v>43880</v>
      </c>
    </row>
    <row r="246" spans="1:19" ht="37.15" customHeight="1">
      <c r="A246" s="89" t="s">
        <v>812</v>
      </c>
      <c r="B246" s="82" t="s">
        <v>53</v>
      </c>
      <c r="C246" s="83"/>
      <c r="D246" s="84" t="s">
        <v>39</v>
      </c>
      <c r="E246" s="85">
        <v>43812</v>
      </c>
      <c r="F246" s="85">
        <v>43850</v>
      </c>
      <c r="G246" s="82" t="s">
        <v>71</v>
      </c>
      <c r="H246" s="82" t="s">
        <v>141</v>
      </c>
      <c r="I246" s="82"/>
      <c r="J246" s="82" t="s">
        <v>102</v>
      </c>
      <c r="K246" s="82" t="s">
        <v>813</v>
      </c>
      <c r="L246" s="86" t="s">
        <v>814</v>
      </c>
      <c r="M246" s="79"/>
      <c r="N246" s="84">
        <v>3</v>
      </c>
      <c r="O246" s="95"/>
      <c r="P246" s="80"/>
      <c r="Q246" s="84" t="s">
        <v>45</v>
      </c>
      <c r="R246" s="101">
        <v>43844</v>
      </c>
    </row>
    <row r="247" spans="1:19" ht="37.15" customHeight="1">
      <c r="A247" s="90" t="s">
        <v>815</v>
      </c>
      <c r="B247" s="74" t="s">
        <v>53</v>
      </c>
      <c r="C247" s="75"/>
      <c r="D247" s="76" t="s">
        <v>39</v>
      </c>
      <c r="E247" s="77">
        <v>43819</v>
      </c>
      <c r="F247" s="77">
        <v>43850</v>
      </c>
      <c r="G247" s="74" t="s">
        <v>71</v>
      </c>
      <c r="H247" s="74" t="s">
        <v>816</v>
      </c>
      <c r="I247" s="74"/>
      <c r="J247" s="76" t="s">
        <v>817</v>
      </c>
      <c r="K247" s="74" t="s">
        <v>818</v>
      </c>
      <c r="L247" s="78" t="s">
        <v>819</v>
      </c>
      <c r="M247" s="79"/>
      <c r="N247" s="76">
        <v>3</v>
      </c>
      <c r="O247" s="95"/>
      <c r="P247" s="80"/>
      <c r="Q247" s="76" t="s">
        <v>45</v>
      </c>
      <c r="R247" s="100">
        <v>43880</v>
      </c>
    </row>
    <row r="248" spans="1:19" ht="37.15" customHeight="1">
      <c r="A248" s="89" t="s">
        <v>820</v>
      </c>
      <c r="B248" s="82" t="s">
        <v>53</v>
      </c>
      <c r="C248" s="83"/>
      <c r="D248" s="84" t="s">
        <v>39</v>
      </c>
      <c r="E248" s="85">
        <v>43819</v>
      </c>
      <c r="F248" s="85">
        <v>43850</v>
      </c>
      <c r="G248" s="82" t="s">
        <v>491</v>
      </c>
      <c r="H248" s="82" t="s">
        <v>821</v>
      </c>
      <c r="I248" s="82"/>
      <c r="J248" s="82" t="s">
        <v>822</v>
      </c>
      <c r="K248" s="82" t="s">
        <v>452</v>
      </c>
      <c r="L248" s="86" t="s">
        <v>823</v>
      </c>
      <c r="M248" s="79"/>
      <c r="N248" s="84">
        <v>3</v>
      </c>
      <c r="O248" s="95"/>
      <c r="P248" s="80"/>
      <c r="Q248" s="84" t="s">
        <v>45</v>
      </c>
      <c r="R248" s="101">
        <v>43880</v>
      </c>
    </row>
    <row r="249" spans="1:19" ht="37.15" customHeight="1">
      <c r="A249" s="90" t="s">
        <v>824</v>
      </c>
      <c r="B249" s="74" t="s">
        <v>53</v>
      </c>
      <c r="C249" s="75"/>
      <c r="D249" s="76" t="s">
        <v>39</v>
      </c>
      <c r="E249" s="77">
        <v>43819</v>
      </c>
      <c r="F249" s="77">
        <v>43850</v>
      </c>
      <c r="G249" s="74" t="s">
        <v>71</v>
      </c>
      <c r="H249" s="74" t="s">
        <v>825</v>
      </c>
      <c r="I249" s="74"/>
      <c r="J249" s="74" t="s">
        <v>826</v>
      </c>
      <c r="K249" s="74" t="s">
        <v>827</v>
      </c>
      <c r="L249" s="78" t="s">
        <v>819</v>
      </c>
      <c r="M249" s="79"/>
      <c r="N249" s="76">
        <v>3</v>
      </c>
      <c r="O249" s="95"/>
      <c r="P249" s="80"/>
      <c r="Q249" s="76" t="s">
        <v>45</v>
      </c>
      <c r="R249" s="100">
        <v>43880</v>
      </c>
      <c r="S249" s="102"/>
    </row>
    <row r="250" spans="1:19" ht="37.15" hidden="1" customHeight="1">
      <c r="A250" s="89" t="s">
        <v>828</v>
      </c>
      <c r="B250" s="82" t="s">
        <v>47</v>
      </c>
      <c r="C250" s="83"/>
      <c r="D250" s="84" t="s">
        <v>39</v>
      </c>
      <c r="E250" s="85">
        <v>43843</v>
      </c>
      <c r="F250" s="85">
        <v>43874</v>
      </c>
      <c r="G250" s="82" t="s">
        <v>71</v>
      </c>
      <c r="H250" s="82" t="s">
        <v>829</v>
      </c>
      <c r="I250" s="82"/>
      <c r="J250" s="82" t="s">
        <v>81</v>
      </c>
      <c r="K250" s="82" t="s">
        <v>452</v>
      </c>
      <c r="L250" s="86" t="s">
        <v>830</v>
      </c>
      <c r="M250" s="79"/>
      <c r="N250" s="84">
        <v>3</v>
      </c>
      <c r="O250" s="95"/>
      <c r="P250" s="80"/>
      <c r="Q250" s="84" t="s">
        <v>45</v>
      </c>
      <c r="R250" s="103"/>
    </row>
    <row r="251" spans="1:19" ht="37.15" customHeight="1">
      <c r="A251" s="90" t="s">
        <v>831</v>
      </c>
      <c r="B251" s="74" t="s">
        <v>53</v>
      </c>
      <c r="C251" s="75"/>
      <c r="D251" s="76" t="s">
        <v>39</v>
      </c>
      <c r="E251" s="77">
        <v>43843</v>
      </c>
      <c r="F251" s="77">
        <v>43874</v>
      </c>
      <c r="G251" s="74" t="s">
        <v>71</v>
      </c>
      <c r="H251" s="74" t="s">
        <v>832</v>
      </c>
      <c r="I251" s="74"/>
      <c r="J251" s="74" t="s">
        <v>385</v>
      </c>
      <c r="K251" s="74" t="s">
        <v>833</v>
      </c>
      <c r="L251" s="78" t="s">
        <v>834</v>
      </c>
      <c r="M251" s="79"/>
      <c r="N251" s="76">
        <v>3</v>
      </c>
      <c r="O251" s="95"/>
      <c r="P251" s="80"/>
      <c r="Q251" s="76" t="s">
        <v>45</v>
      </c>
      <c r="R251" s="100">
        <v>43850</v>
      </c>
    </row>
    <row r="252" spans="1:19" ht="37.15" customHeight="1">
      <c r="A252" s="89" t="s">
        <v>835</v>
      </c>
      <c r="B252" s="82" t="s">
        <v>53</v>
      </c>
      <c r="C252" s="83"/>
      <c r="D252" s="84" t="s">
        <v>39</v>
      </c>
      <c r="E252" s="85">
        <v>43843</v>
      </c>
      <c r="F252" s="85">
        <v>43874</v>
      </c>
      <c r="G252" s="82" t="s">
        <v>71</v>
      </c>
      <c r="H252" s="82" t="s">
        <v>836</v>
      </c>
      <c r="I252" s="82"/>
      <c r="J252" s="82" t="s">
        <v>385</v>
      </c>
      <c r="K252" s="82" t="s">
        <v>837</v>
      </c>
      <c r="L252" s="86" t="s">
        <v>838</v>
      </c>
      <c r="M252" s="79"/>
      <c r="N252" s="84">
        <v>3</v>
      </c>
      <c r="O252" s="95"/>
      <c r="P252" s="80"/>
      <c r="Q252" s="84" t="s">
        <v>45</v>
      </c>
      <c r="R252" s="101">
        <v>43860</v>
      </c>
    </row>
    <row r="253" spans="1:19" ht="37.15" customHeight="1">
      <c r="A253" s="90" t="s">
        <v>839</v>
      </c>
      <c r="B253" s="74" t="s">
        <v>53</v>
      </c>
      <c r="C253" s="75"/>
      <c r="D253" s="76" t="s">
        <v>39</v>
      </c>
      <c r="E253" s="77">
        <v>43843</v>
      </c>
      <c r="F253" s="77">
        <v>43874</v>
      </c>
      <c r="G253" s="74" t="s">
        <v>71</v>
      </c>
      <c r="H253" s="74" t="s">
        <v>840</v>
      </c>
      <c r="I253" s="74"/>
      <c r="J253" s="74" t="s">
        <v>385</v>
      </c>
      <c r="K253" s="74" t="s">
        <v>841</v>
      </c>
      <c r="L253" s="78" t="s">
        <v>842</v>
      </c>
      <c r="M253" s="79"/>
      <c r="N253" s="76">
        <v>3</v>
      </c>
      <c r="O253" s="95"/>
      <c r="P253" s="80"/>
      <c r="Q253" s="76" t="s">
        <v>45</v>
      </c>
      <c r="R253" s="100">
        <v>43886</v>
      </c>
    </row>
    <row r="254" spans="1:19" ht="37.15" customHeight="1">
      <c r="A254" s="89" t="s">
        <v>843</v>
      </c>
      <c r="B254" s="82" t="s">
        <v>53</v>
      </c>
      <c r="C254" s="83"/>
      <c r="D254" s="84" t="s">
        <v>39</v>
      </c>
      <c r="E254" s="85">
        <v>43845</v>
      </c>
      <c r="F254" s="85">
        <v>43876</v>
      </c>
      <c r="G254" s="82" t="s">
        <v>71</v>
      </c>
      <c r="H254" s="84" t="s">
        <v>844</v>
      </c>
      <c r="I254" s="84"/>
      <c r="J254" s="82" t="s">
        <v>385</v>
      </c>
      <c r="K254" s="82" t="s">
        <v>845</v>
      </c>
      <c r="L254" s="86" t="s">
        <v>846</v>
      </c>
      <c r="M254" s="79"/>
      <c r="N254" s="84">
        <v>3</v>
      </c>
      <c r="O254" s="95"/>
      <c r="P254" s="80"/>
      <c r="Q254" s="84" t="s">
        <v>45</v>
      </c>
      <c r="R254" s="101">
        <v>43860</v>
      </c>
    </row>
    <row r="255" spans="1:19" ht="37.15" customHeight="1">
      <c r="A255" s="90" t="s">
        <v>847</v>
      </c>
      <c r="B255" s="74" t="s">
        <v>53</v>
      </c>
      <c r="C255" s="75"/>
      <c r="D255" s="76" t="s">
        <v>39</v>
      </c>
      <c r="E255" s="77">
        <v>43845</v>
      </c>
      <c r="F255" s="77">
        <v>43876</v>
      </c>
      <c r="G255" s="74" t="s">
        <v>71</v>
      </c>
      <c r="H255" s="74" t="s">
        <v>848</v>
      </c>
      <c r="I255" s="74"/>
      <c r="J255" s="74" t="s">
        <v>744</v>
      </c>
      <c r="K255" s="74" t="s">
        <v>849</v>
      </c>
      <c r="L255" s="78" t="s">
        <v>850</v>
      </c>
      <c r="M255" s="79"/>
      <c r="N255" s="76">
        <v>3</v>
      </c>
      <c r="O255" s="95"/>
      <c r="P255" s="80"/>
      <c r="Q255" s="76" t="s">
        <v>45</v>
      </c>
      <c r="R255" s="100">
        <v>43880</v>
      </c>
    </row>
    <row r="256" spans="1:19" ht="37.15" customHeight="1">
      <c r="A256" s="89" t="s">
        <v>851</v>
      </c>
      <c r="B256" s="82" t="s">
        <v>53</v>
      </c>
      <c r="C256" s="83"/>
      <c r="D256" s="84" t="s">
        <v>39</v>
      </c>
      <c r="E256" s="85">
        <v>43845</v>
      </c>
      <c r="F256" s="85">
        <v>43876</v>
      </c>
      <c r="G256" s="82" t="s">
        <v>71</v>
      </c>
      <c r="H256" s="82" t="s">
        <v>852</v>
      </c>
      <c r="I256" s="82"/>
      <c r="J256" s="82" t="s">
        <v>744</v>
      </c>
      <c r="K256" s="82" t="s">
        <v>853</v>
      </c>
      <c r="L256" s="86" t="s">
        <v>854</v>
      </c>
      <c r="M256" s="79"/>
      <c r="N256" s="84">
        <v>3</v>
      </c>
      <c r="O256" s="95"/>
      <c r="P256" s="80"/>
      <c r="Q256" s="84" t="s">
        <v>45</v>
      </c>
      <c r="R256" s="101">
        <v>43880</v>
      </c>
    </row>
    <row r="257" spans="1:18" ht="37.15" customHeight="1">
      <c r="A257" s="90" t="s">
        <v>855</v>
      </c>
      <c r="B257" s="74" t="s">
        <v>53</v>
      </c>
      <c r="C257" s="75"/>
      <c r="D257" s="76" t="s">
        <v>39</v>
      </c>
      <c r="E257" s="77">
        <v>43845</v>
      </c>
      <c r="F257" s="77">
        <v>43876</v>
      </c>
      <c r="G257" s="74" t="s">
        <v>71</v>
      </c>
      <c r="H257" s="92" t="s">
        <v>856</v>
      </c>
      <c r="I257" s="92"/>
      <c r="J257" s="74" t="s">
        <v>385</v>
      </c>
      <c r="K257" s="74" t="s">
        <v>857</v>
      </c>
      <c r="L257" s="78" t="s">
        <v>858</v>
      </c>
      <c r="M257" s="79"/>
      <c r="N257" s="76">
        <v>3</v>
      </c>
      <c r="O257" s="95"/>
      <c r="P257" s="80"/>
      <c r="Q257" s="76" t="s">
        <v>45</v>
      </c>
      <c r="R257" s="100">
        <v>43860</v>
      </c>
    </row>
    <row r="258" spans="1:18" ht="37.15" customHeight="1">
      <c r="A258" s="89" t="s">
        <v>859</v>
      </c>
      <c r="B258" s="82" t="s">
        <v>53</v>
      </c>
      <c r="C258" s="83"/>
      <c r="D258" s="84" t="s">
        <v>39</v>
      </c>
      <c r="E258" s="85">
        <v>43845</v>
      </c>
      <c r="F258" s="85">
        <v>43876</v>
      </c>
      <c r="G258" s="82" t="s">
        <v>71</v>
      </c>
      <c r="H258" s="82" t="s">
        <v>852</v>
      </c>
      <c r="I258" s="82"/>
      <c r="J258" s="82" t="s">
        <v>385</v>
      </c>
      <c r="K258" s="82" t="s">
        <v>860</v>
      </c>
      <c r="L258" s="86" t="s">
        <v>861</v>
      </c>
      <c r="M258" s="79"/>
      <c r="N258" s="84">
        <v>3</v>
      </c>
      <c r="O258" s="95"/>
      <c r="P258" s="80"/>
      <c r="Q258" s="84" t="s">
        <v>45</v>
      </c>
      <c r="R258" s="101">
        <v>43860</v>
      </c>
    </row>
    <row r="259" spans="1:18" ht="37.15" hidden="1" customHeight="1">
      <c r="A259" s="90" t="s">
        <v>862</v>
      </c>
      <c r="B259" s="74" t="s">
        <v>47</v>
      </c>
      <c r="C259" s="75"/>
      <c r="D259" s="76" t="s">
        <v>39</v>
      </c>
      <c r="E259" s="77">
        <v>43850</v>
      </c>
      <c r="F259" s="77">
        <v>43881</v>
      </c>
      <c r="G259" s="74" t="s">
        <v>71</v>
      </c>
      <c r="H259" s="74" t="s">
        <v>863</v>
      </c>
      <c r="I259" s="74"/>
      <c r="J259" s="74" t="s">
        <v>385</v>
      </c>
      <c r="K259" s="74">
        <v>506946</v>
      </c>
      <c r="L259" s="78" t="s">
        <v>864</v>
      </c>
      <c r="M259" s="79"/>
      <c r="N259" s="76">
        <v>3</v>
      </c>
      <c r="O259" s="95"/>
      <c r="P259" s="80"/>
      <c r="Q259" s="76" t="s">
        <v>45</v>
      </c>
      <c r="R259" s="104" t="s">
        <v>776</v>
      </c>
    </row>
    <row r="260" spans="1:18" ht="37.15" customHeight="1">
      <c r="A260" s="89" t="s">
        <v>865</v>
      </c>
      <c r="B260" s="82" t="s">
        <v>53</v>
      </c>
      <c r="C260" s="83"/>
      <c r="D260" s="84" t="s">
        <v>39</v>
      </c>
      <c r="E260" s="85">
        <v>43851</v>
      </c>
      <c r="F260" s="85">
        <v>43882</v>
      </c>
      <c r="G260" s="82" t="s">
        <v>71</v>
      </c>
      <c r="H260" s="82" t="s">
        <v>866</v>
      </c>
      <c r="I260" s="82"/>
      <c r="J260" s="82" t="s">
        <v>385</v>
      </c>
      <c r="K260" s="82" t="s">
        <v>867</v>
      </c>
      <c r="L260" s="86" t="s">
        <v>868</v>
      </c>
      <c r="M260" s="79"/>
      <c r="N260" s="84">
        <v>3</v>
      </c>
      <c r="O260" s="95"/>
      <c r="P260" s="80"/>
      <c r="Q260" s="84" t="s">
        <v>776</v>
      </c>
      <c r="R260" s="101">
        <v>43880</v>
      </c>
    </row>
    <row r="261" spans="1:18" ht="37.15" customHeight="1">
      <c r="A261" s="90" t="s">
        <v>869</v>
      </c>
      <c r="B261" s="74" t="s">
        <v>53</v>
      </c>
      <c r="C261" s="75"/>
      <c r="D261" s="76" t="s">
        <v>39</v>
      </c>
      <c r="E261" s="77">
        <v>43851</v>
      </c>
      <c r="F261" s="77">
        <v>43882</v>
      </c>
      <c r="G261" s="74" t="s">
        <v>71</v>
      </c>
      <c r="H261" s="74" t="s">
        <v>870</v>
      </c>
      <c r="I261" s="74"/>
      <c r="J261" s="74" t="s">
        <v>385</v>
      </c>
      <c r="K261" s="74" t="s">
        <v>871</v>
      </c>
      <c r="L261" s="78" t="s">
        <v>872</v>
      </c>
      <c r="M261" s="79"/>
      <c r="N261" s="76">
        <v>3</v>
      </c>
      <c r="O261" s="95"/>
      <c r="P261" s="80"/>
      <c r="Q261" s="76" t="s">
        <v>45</v>
      </c>
      <c r="R261" s="100">
        <v>43880</v>
      </c>
    </row>
    <row r="262" spans="1:18" ht="37.15" customHeight="1">
      <c r="A262" s="89" t="s">
        <v>873</v>
      </c>
      <c r="B262" s="82" t="s">
        <v>53</v>
      </c>
      <c r="C262" s="83"/>
      <c r="D262" s="84" t="s">
        <v>39</v>
      </c>
      <c r="E262" s="85">
        <v>43851</v>
      </c>
      <c r="F262" s="85">
        <v>43882</v>
      </c>
      <c r="G262" s="82" t="s">
        <v>71</v>
      </c>
      <c r="H262" s="82" t="s">
        <v>874</v>
      </c>
      <c r="I262" s="82"/>
      <c r="J262" s="82" t="s">
        <v>385</v>
      </c>
      <c r="K262" s="82" t="s">
        <v>875</v>
      </c>
      <c r="L262" s="86" t="s">
        <v>876</v>
      </c>
      <c r="M262" s="79"/>
      <c r="N262" s="84">
        <v>3</v>
      </c>
      <c r="O262" s="95"/>
      <c r="P262" s="80"/>
      <c r="Q262" s="84" t="s">
        <v>45</v>
      </c>
      <c r="R262" s="101">
        <v>43880</v>
      </c>
    </row>
    <row r="263" spans="1:18" ht="37.15" customHeight="1">
      <c r="A263" s="90" t="s">
        <v>877</v>
      </c>
      <c r="B263" s="74" t="s">
        <v>53</v>
      </c>
      <c r="C263" s="75"/>
      <c r="D263" s="76" t="s">
        <v>39</v>
      </c>
      <c r="E263" s="77">
        <v>43853</v>
      </c>
      <c r="F263" s="77">
        <v>43884</v>
      </c>
      <c r="G263" s="74" t="s">
        <v>71</v>
      </c>
      <c r="H263" s="92" t="s">
        <v>758</v>
      </c>
      <c r="I263" s="92"/>
      <c r="J263" s="74" t="s">
        <v>878</v>
      </c>
      <c r="K263" s="74" t="s">
        <v>879</v>
      </c>
      <c r="L263" s="78" t="s">
        <v>880</v>
      </c>
      <c r="M263" s="79"/>
      <c r="N263" s="76">
        <v>3</v>
      </c>
      <c r="O263" s="95"/>
      <c r="P263" s="80"/>
      <c r="Q263" s="76" t="s">
        <v>776</v>
      </c>
      <c r="R263" s="100">
        <v>43880</v>
      </c>
    </row>
    <row r="264" spans="1:18" ht="37.15" customHeight="1">
      <c r="A264" s="89" t="s">
        <v>881</v>
      </c>
      <c r="B264" s="82" t="s">
        <v>53</v>
      </c>
      <c r="C264" s="83"/>
      <c r="D264" s="84" t="s">
        <v>39</v>
      </c>
      <c r="E264" s="85">
        <v>43861</v>
      </c>
      <c r="F264" s="85" t="s">
        <v>882</v>
      </c>
      <c r="G264" s="82" t="s">
        <v>71</v>
      </c>
      <c r="H264" s="82" t="s">
        <v>883</v>
      </c>
      <c r="I264" s="82"/>
      <c r="J264" s="82" t="s">
        <v>56</v>
      </c>
      <c r="K264" s="82" t="s">
        <v>452</v>
      </c>
      <c r="L264" s="86" t="s">
        <v>884</v>
      </c>
      <c r="M264" s="79"/>
      <c r="N264" s="84">
        <v>5</v>
      </c>
      <c r="O264" s="95"/>
      <c r="P264" s="80"/>
      <c r="Q264" s="105" t="s">
        <v>776</v>
      </c>
      <c r="R264" s="101">
        <v>43880</v>
      </c>
    </row>
    <row r="265" spans="1:18" ht="37.15" customHeight="1">
      <c r="A265" s="90" t="s">
        <v>885</v>
      </c>
      <c r="B265" s="74" t="s">
        <v>53</v>
      </c>
      <c r="C265" s="75"/>
      <c r="D265" s="76" t="s">
        <v>39</v>
      </c>
      <c r="E265" s="77">
        <v>43906</v>
      </c>
      <c r="F265" s="77">
        <v>43937</v>
      </c>
      <c r="G265" s="74" t="s">
        <v>886</v>
      </c>
      <c r="H265" s="74" t="s">
        <v>304</v>
      </c>
      <c r="I265" s="74"/>
      <c r="J265" s="74" t="s">
        <v>56</v>
      </c>
      <c r="K265" s="74" t="s">
        <v>452</v>
      </c>
      <c r="L265" s="78" t="s">
        <v>887</v>
      </c>
      <c r="M265" s="79"/>
      <c r="N265" s="76">
        <v>3</v>
      </c>
      <c r="O265" s="95"/>
      <c r="P265" s="80"/>
      <c r="Q265" s="76" t="s">
        <v>776</v>
      </c>
      <c r="R265" s="100">
        <v>43922</v>
      </c>
    </row>
    <row r="266" spans="1:18" ht="37.15" customHeight="1">
      <c r="A266" s="89" t="s">
        <v>888</v>
      </c>
      <c r="B266" s="82" t="s">
        <v>53</v>
      </c>
      <c r="C266" s="83"/>
      <c r="D266" s="84" t="s">
        <v>39</v>
      </c>
      <c r="E266" s="85">
        <v>43899</v>
      </c>
      <c r="F266" s="85">
        <v>43930</v>
      </c>
      <c r="G266" s="82" t="s">
        <v>60</v>
      </c>
      <c r="H266" s="82" t="s">
        <v>889</v>
      </c>
      <c r="I266" s="82"/>
      <c r="J266" s="82" t="s">
        <v>744</v>
      </c>
      <c r="K266" s="82" t="s">
        <v>890</v>
      </c>
      <c r="L266" s="86" t="s">
        <v>891</v>
      </c>
      <c r="M266" s="79"/>
      <c r="N266" s="84">
        <v>3</v>
      </c>
      <c r="O266" s="95"/>
      <c r="P266" s="80"/>
      <c r="Q266" s="84" t="s">
        <v>776</v>
      </c>
      <c r="R266" s="101">
        <v>43903</v>
      </c>
    </row>
    <row r="267" spans="1:18" ht="37.15" customHeight="1">
      <c r="A267" s="90" t="s">
        <v>892</v>
      </c>
      <c r="B267" s="74" t="s">
        <v>53</v>
      </c>
      <c r="C267" s="75"/>
      <c r="D267" s="76" t="s">
        <v>39</v>
      </c>
      <c r="E267" s="77" t="s">
        <v>42</v>
      </c>
      <c r="F267" s="77"/>
      <c r="G267" s="74"/>
      <c r="H267" s="74"/>
      <c r="I267" s="74"/>
      <c r="J267" s="74"/>
      <c r="K267" s="74"/>
      <c r="L267" s="78" t="s">
        <v>893</v>
      </c>
      <c r="M267" s="79"/>
      <c r="N267" s="76"/>
      <c r="O267" s="95"/>
      <c r="P267" s="80"/>
      <c r="Q267" s="76"/>
      <c r="R267" s="104"/>
    </row>
    <row r="268" spans="1:18" ht="37.15" customHeight="1">
      <c r="A268" s="89" t="s">
        <v>894</v>
      </c>
      <c r="B268" s="82" t="s">
        <v>53</v>
      </c>
      <c r="C268" s="83"/>
      <c r="D268" s="84" t="s">
        <v>39</v>
      </c>
      <c r="E268" s="85">
        <v>43864</v>
      </c>
      <c r="F268" s="85">
        <v>43893</v>
      </c>
      <c r="G268" s="82" t="s">
        <v>71</v>
      </c>
      <c r="H268" s="91" t="s">
        <v>234</v>
      </c>
      <c r="I268" s="91"/>
      <c r="J268" s="82" t="s">
        <v>98</v>
      </c>
      <c r="K268" s="82">
        <v>507084</v>
      </c>
      <c r="L268" s="86" t="s">
        <v>895</v>
      </c>
      <c r="M268" s="79"/>
      <c r="N268" s="84">
        <v>3</v>
      </c>
      <c r="O268" s="95"/>
      <c r="P268" s="80"/>
      <c r="Q268" s="105" t="s">
        <v>776</v>
      </c>
      <c r="R268" s="101">
        <v>43880</v>
      </c>
    </row>
    <row r="269" spans="1:18" ht="37.15" customHeight="1">
      <c r="A269" s="90" t="s">
        <v>896</v>
      </c>
      <c r="B269" s="74" t="s">
        <v>53</v>
      </c>
      <c r="C269" s="75"/>
      <c r="D269" s="76" t="s">
        <v>39</v>
      </c>
      <c r="E269" s="77">
        <v>43899</v>
      </c>
      <c r="F269" s="77">
        <v>43930</v>
      </c>
      <c r="G269" s="74" t="s">
        <v>60</v>
      </c>
      <c r="H269" s="74" t="s">
        <v>897</v>
      </c>
      <c r="I269" s="74"/>
      <c r="J269" s="74" t="s">
        <v>316</v>
      </c>
      <c r="K269" s="74" t="s">
        <v>898</v>
      </c>
      <c r="L269" s="78" t="s">
        <v>899</v>
      </c>
      <c r="M269" s="79"/>
      <c r="N269" s="76">
        <v>3</v>
      </c>
      <c r="O269" s="95"/>
      <c r="P269" s="80"/>
      <c r="Q269" s="76" t="s">
        <v>776</v>
      </c>
      <c r="R269" s="100">
        <v>43903</v>
      </c>
    </row>
    <row r="270" spans="1:18" ht="37.15" customHeight="1">
      <c r="A270" s="89" t="s">
        <v>900</v>
      </c>
      <c r="B270" s="82" t="s">
        <v>53</v>
      </c>
      <c r="C270" s="83"/>
      <c r="D270" s="84" t="s">
        <v>39</v>
      </c>
      <c r="E270" s="85">
        <v>43882</v>
      </c>
      <c r="F270" s="85">
        <v>43911</v>
      </c>
      <c r="G270" s="82" t="s">
        <v>71</v>
      </c>
      <c r="H270" s="82" t="s">
        <v>901</v>
      </c>
      <c r="I270" s="82"/>
      <c r="J270" s="82" t="s">
        <v>385</v>
      </c>
      <c r="K270" s="82" t="s">
        <v>902</v>
      </c>
      <c r="L270" s="86" t="s">
        <v>903</v>
      </c>
      <c r="M270" s="79"/>
      <c r="N270" s="84">
        <v>3</v>
      </c>
      <c r="O270" s="95"/>
      <c r="P270" s="80"/>
      <c r="Q270" s="84" t="s">
        <v>776</v>
      </c>
      <c r="R270" s="101">
        <v>43892</v>
      </c>
    </row>
    <row r="271" spans="1:18" ht="37.15" customHeight="1">
      <c r="A271" s="90" t="s">
        <v>904</v>
      </c>
      <c r="B271" s="74" t="s">
        <v>53</v>
      </c>
      <c r="C271" s="75"/>
      <c r="D271" s="76" t="s">
        <v>39</v>
      </c>
      <c r="E271" s="77">
        <v>43882</v>
      </c>
      <c r="F271" s="77">
        <v>43911</v>
      </c>
      <c r="G271" s="74" t="s">
        <v>71</v>
      </c>
      <c r="H271" s="74" t="s">
        <v>905</v>
      </c>
      <c r="I271" s="74"/>
      <c r="J271" s="74" t="s">
        <v>316</v>
      </c>
      <c r="K271" s="74" t="s">
        <v>906</v>
      </c>
      <c r="L271" s="78" t="s">
        <v>907</v>
      </c>
      <c r="M271" s="79"/>
      <c r="N271" s="76">
        <v>3</v>
      </c>
      <c r="O271" s="95"/>
      <c r="P271" s="80"/>
      <c r="Q271" s="76" t="s">
        <v>776</v>
      </c>
      <c r="R271" s="100">
        <v>43899</v>
      </c>
    </row>
    <row r="272" spans="1:18" ht="37.15" customHeight="1">
      <c r="A272" s="89" t="s">
        <v>908</v>
      </c>
      <c r="B272" s="82" t="s">
        <v>53</v>
      </c>
      <c r="C272" s="83"/>
      <c r="D272" s="84" t="s">
        <v>39</v>
      </c>
      <c r="E272" s="85">
        <v>43875</v>
      </c>
      <c r="F272" s="85">
        <v>43904</v>
      </c>
      <c r="G272" s="82" t="s">
        <v>71</v>
      </c>
      <c r="H272" s="82" t="s">
        <v>909</v>
      </c>
      <c r="I272" s="82"/>
      <c r="J272" s="82" t="s">
        <v>385</v>
      </c>
      <c r="K272" s="82" t="s">
        <v>910</v>
      </c>
      <c r="L272" s="86" t="s">
        <v>911</v>
      </c>
      <c r="M272" s="79"/>
      <c r="N272" s="84">
        <v>3</v>
      </c>
      <c r="O272" s="95"/>
      <c r="P272" s="80"/>
      <c r="Q272" s="84" t="s">
        <v>776</v>
      </c>
      <c r="R272" s="101">
        <v>43885</v>
      </c>
    </row>
    <row r="273" spans="1:18" ht="37.15" customHeight="1">
      <c r="A273" s="90" t="s">
        <v>912</v>
      </c>
      <c r="B273" s="74" t="s">
        <v>53</v>
      </c>
      <c r="C273" s="75"/>
      <c r="D273" s="76" t="s">
        <v>39</v>
      </c>
      <c r="E273" s="77">
        <v>43965</v>
      </c>
      <c r="F273" s="77">
        <v>43996</v>
      </c>
      <c r="G273" s="74" t="s">
        <v>886</v>
      </c>
      <c r="H273" s="74" t="s">
        <v>913</v>
      </c>
      <c r="I273" s="74"/>
      <c r="J273" s="74" t="s">
        <v>385</v>
      </c>
      <c r="K273" s="74" t="s">
        <v>886</v>
      </c>
      <c r="L273" s="78" t="s">
        <v>914</v>
      </c>
      <c r="M273" s="79"/>
      <c r="N273" s="76">
        <v>4</v>
      </c>
      <c r="O273" s="95"/>
      <c r="P273" s="80"/>
      <c r="Q273" s="76" t="s">
        <v>45</v>
      </c>
      <c r="R273" s="100">
        <v>43978</v>
      </c>
    </row>
    <row r="274" spans="1:18" ht="37.15" customHeight="1">
      <c r="A274" s="89" t="s">
        <v>915</v>
      </c>
      <c r="B274" s="82" t="s">
        <v>53</v>
      </c>
      <c r="C274" s="83"/>
      <c r="D274" s="84" t="s">
        <v>39</v>
      </c>
      <c r="E274" s="85">
        <v>43906</v>
      </c>
      <c r="F274" s="85">
        <v>43937</v>
      </c>
      <c r="G274" s="82" t="s">
        <v>60</v>
      </c>
      <c r="H274" s="82" t="s">
        <v>916</v>
      </c>
      <c r="I274" s="82"/>
      <c r="J274" s="82" t="s">
        <v>385</v>
      </c>
      <c r="K274" s="82" t="s">
        <v>917</v>
      </c>
      <c r="L274" s="86" t="s">
        <v>918</v>
      </c>
      <c r="M274" s="79"/>
      <c r="N274" s="84">
        <v>3</v>
      </c>
      <c r="O274" s="95"/>
      <c r="P274" s="80"/>
      <c r="Q274" s="84" t="s">
        <v>776</v>
      </c>
      <c r="R274" s="101">
        <v>43922</v>
      </c>
    </row>
    <row r="275" spans="1:18" ht="37.15" customHeight="1">
      <c r="A275" s="90" t="s">
        <v>919</v>
      </c>
      <c r="B275" s="74" t="s">
        <v>53</v>
      </c>
      <c r="C275" s="75"/>
      <c r="D275" s="76" t="s">
        <v>39</v>
      </c>
      <c r="E275" s="77">
        <v>43906</v>
      </c>
      <c r="F275" s="77">
        <v>43937</v>
      </c>
      <c r="G275" s="74" t="s">
        <v>886</v>
      </c>
      <c r="H275" s="74" t="s">
        <v>920</v>
      </c>
      <c r="I275" s="74"/>
      <c r="J275" s="74" t="s">
        <v>702</v>
      </c>
      <c r="K275" s="74" t="s">
        <v>886</v>
      </c>
      <c r="L275" s="78" t="s">
        <v>921</v>
      </c>
      <c r="M275" s="79"/>
      <c r="N275" s="76">
        <v>3</v>
      </c>
      <c r="O275" s="95"/>
      <c r="P275" s="80"/>
      <c r="Q275" s="76" t="s">
        <v>45</v>
      </c>
      <c r="R275" s="100">
        <v>43927</v>
      </c>
    </row>
    <row r="276" spans="1:18" ht="37.15" customHeight="1">
      <c r="A276" s="89" t="s">
        <v>922</v>
      </c>
      <c r="B276" s="82" t="s">
        <v>53</v>
      </c>
      <c r="C276" s="83"/>
      <c r="D276" s="84" t="s">
        <v>39</v>
      </c>
      <c r="E276" s="85">
        <v>43868</v>
      </c>
      <c r="F276" s="85">
        <v>43897</v>
      </c>
      <c r="G276" s="82" t="s">
        <v>71</v>
      </c>
      <c r="H276" s="82" t="s">
        <v>923</v>
      </c>
      <c r="I276" s="82"/>
      <c r="J276" s="82" t="s">
        <v>56</v>
      </c>
      <c r="K276" s="82" t="s">
        <v>924</v>
      </c>
      <c r="L276" s="86" t="s">
        <v>925</v>
      </c>
      <c r="M276" s="79"/>
      <c r="N276" s="84">
        <v>5</v>
      </c>
      <c r="O276" s="95"/>
      <c r="P276" s="80"/>
      <c r="Q276" s="84" t="s">
        <v>776</v>
      </c>
      <c r="R276" s="101">
        <v>43881</v>
      </c>
    </row>
    <row r="277" spans="1:18" ht="37.15" customHeight="1">
      <c r="A277" s="90" t="s">
        <v>926</v>
      </c>
      <c r="B277" s="74" t="s">
        <v>53</v>
      </c>
      <c r="C277" s="75"/>
      <c r="D277" s="76" t="s">
        <v>39</v>
      </c>
      <c r="E277" s="77">
        <v>43906</v>
      </c>
      <c r="F277" s="77">
        <v>43937</v>
      </c>
      <c r="G277" s="74" t="s">
        <v>60</v>
      </c>
      <c r="H277" s="74" t="s">
        <v>927</v>
      </c>
      <c r="I277" s="74"/>
      <c r="J277" s="74" t="s">
        <v>385</v>
      </c>
      <c r="K277" s="74" t="s">
        <v>928</v>
      </c>
      <c r="L277" s="78" t="s">
        <v>929</v>
      </c>
      <c r="M277" s="79"/>
      <c r="N277" s="76">
        <v>3</v>
      </c>
      <c r="O277" s="95"/>
      <c r="P277" s="80"/>
      <c r="Q277" s="76" t="s">
        <v>45</v>
      </c>
      <c r="R277" s="100">
        <v>43922</v>
      </c>
    </row>
    <row r="278" spans="1:18" ht="37.15" customHeight="1">
      <c r="A278" s="89" t="s">
        <v>930</v>
      </c>
      <c r="B278" s="82" t="s">
        <v>53</v>
      </c>
      <c r="C278" s="83"/>
      <c r="D278" s="84" t="s">
        <v>39</v>
      </c>
      <c r="E278" s="85">
        <v>43875</v>
      </c>
      <c r="F278" s="85">
        <v>43904</v>
      </c>
      <c r="G278" s="82" t="s">
        <v>71</v>
      </c>
      <c r="H278" s="82" t="s">
        <v>931</v>
      </c>
      <c r="I278" s="82"/>
      <c r="J278" s="82" t="s">
        <v>385</v>
      </c>
      <c r="K278" s="82" t="s">
        <v>932</v>
      </c>
      <c r="L278" s="86" t="s">
        <v>933</v>
      </c>
      <c r="M278" s="79"/>
      <c r="N278" s="84">
        <v>3</v>
      </c>
      <c r="O278" s="95"/>
      <c r="P278" s="80"/>
      <c r="Q278" s="84" t="s">
        <v>776</v>
      </c>
      <c r="R278" s="101">
        <v>43881</v>
      </c>
    </row>
    <row r="279" spans="1:18" ht="37.15" hidden="1" customHeight="1">
      <c r="A279" s="90" t="s">
        <v>934</v>
      </c>
      <c r="B279" s="74" t="s">
        <v>47</v>
      </c>
      <c r="C279" s="75"/>
      <c r="D279" s="76" t="s">
        <v>39</v>
      </c>
      <c r="E279" s="77" t="s">
        <v>935</v>
      </c>
      <c r="F279" s="77" t="s">
        <v>936</v>
      </c>
      <c r="G279" s="74" t="s">
        <v>71</v>
      </c>
      <c r="H279" s="92" t="s">
        <v>937</v>
      </c>
      <c r="I279" s="92"/>
      <c r="J279" s="74" t="s">
        <v>56</v>
      </c>
      <c r="K279" s="74">
        <v>507142</v>
      </c>
      <c r="L279" s="78" t="s">
        <v>938</v>
      </c>
      <c r="M279" s="79"/>
      <c r="N279" s="76">
        <v>3</v>
      </c>
      <c r="O279" s="95"/>
      <c r="P279" s="80"/>
      <c r="Q279" s="76" t="s">
        <v>42</v>
      </c>
      <c r="R279" s="104"/>
    </row>
    <row r="280" spans="1:18" ht="37.15" hidden="1" customHeight="1">
      <c r="A280" s="89" t="s">
        <v>939</v>
      </c>
      <c r="B280" s="82" t="s">
        <v>47</v>
      </c>
      <c r="C280" s="83"/>
      <c r="D280" s="84" t="s">
        <v>117</v>
      </c>
      <c r="E280" s="85" t="s">
        <v>940</v>
      </c>
      <c r="F280" s="85" t="s">
        <v>941</v>
      </c>
      <c r="G280" s="82" t="s">
        <v>71</v>
      </c>
      <c r="H280" s="84" t="s">
        <v>942</v>
      </c>
      <c r="I280" s="84"/>
      <c r="J280" s="82" t="s">
        <v>744</v>
      </c>
      <c r="K280" s="82">
        <v>507169</v>
      </c>
      <c r="L280" s="86" t="s">
        <v>943</v>
      </c>
      <c r="M280" s="79"/>
      <c r="N280" s="84">
        <v>3</v>
      </c>
      <c r="O280" s="95"/>
      <c r="P280" s="80"/>
      <c r="Q280" s="84" t="s">
        <v>42</v>
      </c>
      <c r="R280" s="103"/>
    </row>
    <row r="281" spans="1:18" ht="37.15" hidden="1" customHeight="1">
      <c r="A281" s="90" t="s">
        <v>944</v>
      </c>
      <c r="B281" s="74" t="s">
        <v>47</v>
      </c>
      <c r="C281" s="75"/>
      <c r="D281" s="76" t="s">
        <v>39</v>
      </c>
      <c r="E281" s="77" t="s">
        <v>945</v>
      </c>
      <c r="F281" s="77" t="s">
        <v>946</v>
      </c>
      <c r="G281" s="74" t="s">
        <v>71</v>
      </c>
      <c r="H281" s="74" t="s">
        <v>947</v>
      </c>
      <c r="I281" s="74"/>
      <c r="J281" s="74" t="s">
        <v>385</v>
      </c>
      <c r="K281" s="74"/>
      <c r="L281" s="78" t="s">
        <v>948</v>
      </c>
      <c r="M281" s="79"/>
      <c r="N281" s="76">
        <v>3</v>
      </c>
      <c r="O281" s="95"/>
      <c r="P281" s="80"/>
      <c r="Q281" s="76" t="s">
        <v>42</v>
      </c>
      <c r="R281" s="104"/>
    </row>
    <row r="282" spans="1:18" ht="37.15" customHeight="1">
      <c r="A282" s="89" t="s">
        <v>949</v>
      </c>
      <c r="B282" s="82" t="s">
        <v>53</v>
      </c>
      <c r="C282" s="83"/>
      <c r="D282" s="84" t="s">
        <v>39</v>
      </c>
      <c r="E282" s="85">
        <v>43875</v>
      </c>
      <c r="F282" s="85">
        <v>43903</v>
      </c>
      <c r="G282" s="82" t="s">
        <v>71</v>
      </c>
      <c r="H282" s="82" t="s">
        <v>950</v>
      </c>
      <c r="I282" s="82"/>
      <c r="J282" s="82" t="s">
        <v>56</v>
      </c>
      <c r="K282" s="82" t="s">
        <v>951</v>
      </c>
      <c r="L282" s="86" t="s">
        <v>679</v>
      </c>
      <c r="M282" s="79"/>
      <c r="N282" s="84">
        <v>3</v>
      </c>
      <c r="O282" s="95"/>
      <c r="P282" s="80"/>
      <c r="Q282" s="84" t="s">
        <v>776</v>
      </c>
      <c r="R282" s="101">
        <v>43892</v>
      </c>
    </row>
    <row r="283" spans="1:18" ht="37.15" hidden="1" customHeight="1">
      <c r="A283" s="90" t="s">
        <v>952</v>
      </c>
      <c r="B283" s="74" t="s">
        <v>47</v>
      </c>
      <c r="C283" s="75"/>
      <c r="D283" s="76" t="s">
        <v>39</v>
      </c>
      <c r="E283" s="77">
        <v>43881</v>
      </c>
      <c r="F283" s="77">
        <v>43910</v>
      </c>
      <c r="G283" s="74" t="s">
        <v>71</v>
      </c>
      <c r="H283" s="74" t="s">
        <v>953</v>
      </c>
      <c r="I283" s="74"/>
      <c r="J283" s="74" t="s">
        <v>102</v>
      </c>
      <c r="K283" s="74" t="s">
        <v>954</v>
      </c>
      <c r="L283" s="78" t="s">
        <v>955</v>
      </c>
      <c r="M283" s="79"/>
      <c r="N283" s="76">
        <v>3</v>
      </c>
      <c r="O283" s="95"/>
      <c r="P283" s="80"/>
      <c r="Q283" s="76" t="s">
        <v>45</v>
      </c>
      <c r="R283" s="104"/>
    </row>
    <row r="284" spans="1:18" ht="37.15" customHeight="1">
      <c r="A284" s="89" t="s">
        <v>956</v>
      </c>
      <c r="B284" s="82" t="s">
        <v>53</v>
      </c>
      <c r="C284" s="83"/>
      <c r="D284" s="84" t="s">
        <v>39</v>
      </c>
      <c r="E284" s="85">
        <v>43882</v>
      </c>
      <c r="F284" s="85">
        <v>43911</v>
      </c>
      <c r="G284" s="82" t="s">
        <v>71</v>
      </c>
      <c r="H284" s="82" t="s">
        <v>957</v>
      </c>
      <c r="I284" s="82"/>
      <c r="J284" s="82" t="s">
        <v>385</v>
      </c>
      <c r="K284" s="82" t="s">
        <v>958</v>
      </c>
      <c r="L284" s="93" t="s">
        <v>959</v>
      </c>
      <c r="M284" s="94"/>
      <c r="N284" s="84">
        <v>3</v>
      </c>
      <c r="O284" s="95"/>
      <c r="P284" s="80"/>
      <c r="Q284" s="84" t="s">
        <v>776</v>
      </c>
      <c r="R284" s="101">
        <v>43899</v>
      </c>
    </row>
    <row r="285" spans="1:18" ht="37.15" customHeight="1">
      <c r="A285" s="90" t="s">
        <v>960</v>
      </c>
      <c r="B285" s="74" t="s">
        <v>53</v>
      </c>
      <c r="C285" s="75"/>
      <c r="D285" s="76" t="s">
        <v>39</v>
      </c>
      <c r="E285" s="77">
        <v>43882</v>
      </c>
      <c r="F285" s="77">
        <v>43911</v>
      </c>
      <c r="G285" s="74" t="s">
        <v>71</v>
      </c>
      <c r="H285" s="74" t="s">
        <v>695</v>
      </c>
      <c r="I285" s="74"/>
      <c r="J285" s="74" t="s">
        <v>385</v>
      </c>
      <c r="K285" s="74" t="s">
        <v>961</v>
      </c>
      <c r="L285" s="78" t="s">
        <v>962</v>
      </c>
      <c r="M285" s="79"/>
      <c r="N285" s="76">
        <v>3</v>
      </c>
      <c r="O285" s="95"/>
      <c r="P285" s="80"/>
      <c r="Q285" s="76" t="s">
        <v>776</v>
      </c>
      <c r="R285" s="100">
        <v>43892</v>
      </c>
    </row>
    <row r="286" spans="1:18" ht="37.15" customHeight="1">
      <c r="A286" s="89" t="s">
        <v>963</v>
      </c>
      <c r="B286" s="82" t="s">
        <v>53</v>
      </c>
      <c r="C286" s="83"/>
      <c r="D286" s="84" t="s">
        <v>39</v>
      </c>
      <c r="E286" s="85" t="s">
        <v>42</v>
      </c>
      <c r="F286" s="85"/>
      <c r="G286" s="82"/>
      <c r="H286" s="82"/>
      <c r="I286" s="82"/>
      <c r="J286" s="82"/>
      <c r="K286" s="82"/>
      <c r="L286" s="86" t="s">
        <v>964</v>
      </c>
      <c r="M286" s="79"/>
      <c r="N286" s="84"/>
      <c r="O286" s="95"/>
      <c r="P286" s="80"/>
      <c r="Q286" s="84"/>
      <c r="R286" s="103"/>
    </row>
    <row r="287" spans="1:18" ht="37.15" customHeight="1">
      <c r="A287" s="90" t="s">
        <v>965</v>
      </c>
      <c r="B287" s="74" t="s">
        <v>53</v>
      </c>
      <c r="C287" s="75"/>
      <c r="D287" s="76" t="s">
        <v>39</v>
      </c>
      <c r="E287" s="77">
        <v>43885</v>
      </c>
      <c r="F287" s="77">
        <v>43914</v>
      </c>
      <c r="G287" s="74" t="s">
        <v>71</v>
      </c>
      <c r="H287" s="92" t="s">
        <v>966</v>
      </c>
      <c r="I287" s="92"/>
      <c r="J287" s="74" t="s">
        <v>493</v>
      </c>
      <c r="K287" s="74" t="s">
        <v>967</v>
      </c>
      <c r="L287" s="78" t="s">
        <v>968</v>
      </c>
      <c r="M287" s="79"/>
      <c r="N287" s="76">
        <v>3</v>
      </c>
      <c r="O287" s="95"/>
      <c r="P287" s="80"/>
      <c r="Q287" s="76" t="s">
        <v>776</v>
      </c>
      <c r="R287" s="100">
        <v>43892</v>
      </c>
    </row>
    <row r="288" spans="1:18" ht="37.15" customHeight="1">
      <c r="A288" s="89" t="s">
        <v>969</v>
      </c>
      <c r="B288" s="82" t="s">
        <v>53</v>
      </c>
      <c r="C288" s="83"/>
      <c r="D288" s="84" t="s">
        <v>39</v>
      </c>
      <c r="E288" s="85">
        <v>43886</v>
      </c>
      <c r="F288" s="85">
        <v>43915</v>
      </c>
      <c r="G288" s="82" t="s">
        <v>71</v>
      </c>
      <c r="H288" s="82" t="s">
        <v>970</v>
      </c>
      <c r="I288" s="82"/>
      <c r="J288" s="82" t="s">
        <v>792</v>
      </c>
      <c r="K288" s="84" t="s">
        <v>971</v>
      </c>
      <c r="L288" s="86" t="s">
        <v>972</v>
      </c>
      <c r="M288" s="79"/>
      <c r="N288" s="84">
        <v>3</v>
      </c>
      <c r="O288" s="95"/>
      <c r="P288" s="80"/>
      <c r="Q288" s="84" t="s">
        <v>776</v>
      </c>
      <c r="R288" s="101">
        <v>43893</v>
      </c>
    </row>
    <row r="289" spans="1:18" ht="37.15" hidden="1" customHeight="1">
      <c r="A289" s="90" t="s">
        <v>973</v>
      </c>
      <c r="B289" s="74" t="s">
        <v>47</v>
      </c>
      <c r="C289" s="75"/>
      <c r="D289" s="76" t="s">
        <v>117</v>
      </c>
      <c r="E289" s="77">
        <v>43892</v>
      </c>
      <c r="F289" s="77">
        <v>43923</v>
      </c>
      <c r="G289" s="74" t="s">
        <v>71</v>
      </c>
      <c r="H289" s="74" t="s">
        <v>974</v>
      </c>
      <c r="I289" s="74"/>
      <c r="J289" s="74" t="s">
        <v>56</v>
      </c>
      <c r="K289" s="74" t="s">
        <v>42</v>
      </c>
      <c r="L289" s="76" t="s">
        <v>974</v>
      </c>
      <c r="M289" s="79"/>
      <c r="N289" s="76">
        <v>3</v>
      </c>
      <c r="O289" s="95"/>
      <c r="P289" s="80"/>
      <c r="Q289" s="76" t="s">
        <v>45</v>
      </c>
      <c r="R289" s="104"/>
    </row>
    <row r="290" spans="1:18" ht="37.15" customHeight="1">
      <c r="A290" s="89" t="s">
        <v>975</v>
      </c>
      <c r="B290" s="82" t="s">
        <v>53</v>
      </c>
      <c r="C290" s="83"/>
      <c r="D290" s="84" t="s">
        <v>39</v>
      </c>
      <c r="E290" s="85">
        <v>43894</v>
      </c>
      <c r="F290" s="85">
        <v>43925</v>
      </c>
      <c r="G290" s="82" t="s">
        <v>60</v>
      </c>
      <c r="H290" s="82" t="s">
        <v>976</v>
      </c>
      <c r="I290" s="82"/>
      <c r="J290" s="82" t="s">
        <v>385</v>
      </c>
      <c r="K290" s="82" t="s">
        <v>977</v>
      </c>
      <c r="L290" s="86" t="s">
        <v>978</v>
      </c>
      <c r="M290" s="79"/>
      <c r="N290" s="84">
        <v>3</v>
      </c>
      <c r="O290" s="95"/>
      <c r="P290" s="80"/>
      <c r="Q290" s="84" t="s">
        <v>776</v>
      </c>
      <c r="R290" s="101">
        <v>43902</v>
      </c>
    </row>
    <row r="291" spans="1:18" ht="37.15" customHeight="1">
      <c r="A291" s="90" t="s">
        <v>979</v>
      </c>
      <c r="B291" s="74" t="s">
        <v>53</v>
      </c>
      <c r="C291" s="75"/>
      <c r="D291" s="76" t="s">
        <v>39</v>
      </c>
      <c r="E291" s="77">
        <v>43901</v>
      </c>
      <c r="F291" s="77">
        <v>43932</v>
      </c>
      <c r="G291" s="74" t="s">
        <v>60</v>
      </c>
      <c r="H291" s="74" t="s">
        <v>980</v>
      </c>
      <c r="I291" s="74"/>
      <c r="J291" s="74" t="s">
        <v>385</v>
      </c>
      <c r="K291" s="74" t="s">
        <v>981</v>
      </c>
      <c r="L291" s="78" t="s">
        <v>982</v>
      </c>
      <c r="M291" s="79"/>
      <c r="N291" s="76">
        <v>4</v>
      </c>
      <c r="O291" s="95"/>
      <c r="P291" s="80"/>
      <c r="Q291" s="76" t="s">
        <v>776</v>
      </c>
      <c r="R291" s="100">
        <v>43922</v>
      </c>
    </row>
    <row r="292" spans="1:18" ht="37.15" customHeight="1">
      <c r="A292" s="89" t="s">
        <v>983</v>
      </c>
      <c r="B292" s="82" t="s">
        <v>53</v>
      </c>
      <c r="C292" s="83"/>
      <c r="D292" s="84" t="s">
        <v>39</v>
      </c>
      <c r="E292" s="85">
        <v>43901</v>
      </c>
      <c r="F292" s="85">
        <v>43932</v>
      </c>
      <c r="G292" s="82" t="s">
        <v>71</v>
      </c>
      <c r="H292" s="106" t="s">
        <v>984</v>
      </c>
      <c r="I292" s="106"/>
      <c r="J292" s="82" t="s">
        <v>385</v>
      </c>
      <c r="K292" s="82" t="s">
        <v>386</v>
      </c>
      <c r="L292" s="86" t="s">
        <v>985</v>
      </c>
      <c r="M292" s="79"/>
      <c r="N292" s="84">
        <v>3</v>
      </c>
      <c r="O292" s="95"/>
      <c r="P292" s="80"/>
      <c r="Q292" s="84" t="s">
        <v>776</v>
      </c>
      <c r="R292" s="101">
        <v>43921</v>
      </c>
    </row>
    <row r="293" spans="1:18" ht="37.15" customHeight="1">
      <c r="A293" s="90" t="s">
        <v>986</v>
      </c>
      <c r="B293" s="74" t="s">
        <v>53</v>
      </c>
      <c r="C293" s="75"/>
      <c r="D293" s="76" t="s">
        <v>39</v>
      </c>
      <c r="E293" s="77">
        <v>43901</v>
      </c>
      <c r="F293" s="77">
        <v>43932</v>
      </c>
      <c r="G293" s="74" t="s">
        <v>71</v>
      </c>
      <c r="H293" s="92" t="s">
        <v>234</v>
      </c>
      <c r="I293" s="92"/>
      <c r="J293" s="74" t="s">
        <v>385</v>
      </c>
      <c r="K293" s="74" t="s">
        <v>452</v>
      </c>
      <c r="L293" s="78" t="s">
        <v>987</v>
      </c>
      <c r="M293" s="79"/>
      <c r="N293" s="76">
        <v>3</v>
      </c>
      <c r="O293" s="95"/>
      <c r="P293" s="80"/>
      <c r="Q293" s="76" t="s">
        <v>776</v>
      </c>
      <c r="R293" s="100">
        <v>43921</v>
      </c>
    </row>
    <row r="294" spans="1:18" ht="37.15" hidden="1" customHeight="1">
      <c r="A294" s="89" t="s">
        <v>988</v>
      </c>
      <c r="B294" s="82" t="s">
        <v>47</v>
      </c>
      <c r="C294" s="83"/>
      <c r="D294" s="84" t="s">
        <v>39</v>
      </c>
      <c r="E294" s="85">
        <v>43902</v>
      </c>
      <c r="F294" s="85">
        <v>43933</v>
      </c>
      <c r="G294" s="82" t="s">
        <v>71</v>
      </c>
      <c r="H294" s="82" t="s">
        <v>989</v>
      </c>
      <c r="I294" s="82"/>
      <c r="J294" s="82" t="s">
        <v>102</v>
      </c>
      <c r="K294" s="82" t="s">
        <v>990</v>
      </c>
      <c r="L294" s="86" t="s">
        <v>991</v>
      </c>
      <c r="M294" s="79"/>
      <c r="N294" s="84"/>
      <c r="O294" s="95"/>
      <c r="P294" s="80"/>
      <c r="Q294" s="84" t="s">
        <v>45</v>
      </c>
      <c r="R294" s="103"/>
    </row>
    <row r="295" spans="1:18" ht="37.15" customHeight="1">
      <c r="A295" s="90" t="s">
        <v>992</v>
      </c>
      <c r="B295" s="74" t="s">
        <v>53</v>
      </c>
      <c r="C295" s="75"/>
      <c r="D295" s="76" t="s">
        <v>39</v>
      </c>
      <c r="E295" s="77">
        <v>43903</v>
      </c>
      <c r="F295" s="77">
        <v>43934</v>
      </c>
      <c r="G295" s="74" t="s">
        <v>71</v>
      </c>
      <c r="H295" s="74" t="s">
        <v>993</v>
      </c>
      <c r="I295" s="74"/>
      <c r="J295" s="74" t="s">
        <v>994</v>
      </c>
      <c r="K295" s="74" t="s">
        <v>995</v>
      </c>
      <c r="L295" s="78" t="s">
        <v>996</v>
      </c>
      <c r="M295" s="79"/>
      <c r="N295" s="76">
        <v>6</v>
      </c>
      <c r="O295" s="95"/>
      <c r="P295" s="80"/>
      <c r="Q295" s="76" t="s">
        <v>776</v>
      </c>
      <c r="R295" s="100">
        <v>43944</v>
      </c>
    </row>
    <row r="296" spans="1:18" ht="37.15" customHeight="1">
      <c r="A296" s="89" t="s">
        <v>997</v>
      </c>
      <c r="B296" s="82" t="s">
        <v>53</v>
      </c>
      <c r="C296" s="83"/>
      <c r="D296" s="84" t="s">
        <v>39</v>
      </c>
      <c r="E296" s="85">
        <v>43906</v>
      </c>
      <c r="F296" s="85">
        <v>43937</v>
      </c>
      <c r="G296" s="82" t="s">
        <v>71</v>
      </c>
      <c r="H296" s="82" t="s">
        <v>998</v>
      </c>
      <c r="I296" s="82"/>
      <c r="J296" s="82" t="s">
        <v>385</v>
      </c>
      <c r="K296" s="82" t="s">
        <v>999</v>
      </c>
      <c r="L296" s="86" t="s">
        <v>1000</v>
      </c>
      <c r="M296" s="79"/>
      <c r="N296" s="84">
        <v>3</v>
      </c>
      <c r="O296" s="95"/>
      <c r="P296" s="80"/>
      <c r="Q296" s="84" t="s">
        <v>45</v>
      </c>
      <c r="R296" s="101">
        <v>43922</v>
      </c>
    </row>
    <row r="297" spans="1:18" ht="37.15" customHeight="1">
      <c r="A297" s="90" t="s">
        <v>1001</v>
      </c>
      <c r="B297" s="74" t="s">
        <v>53</v>
      </c>
      <c r="C297" s="75"/>
      <c r="D297" s="76" t="s">
        <v>39</v>
      </c>
      <c r="E297" s="77">
        <v>43915</v>
      </c>
      <c r="F297" s="77">
        <v>43946</v>
      </c>
      <c r="G297" s="74" t="s">
        <v>71</v>
      </c>
      <c r="H297" s="74" t="s">
        <v>1002</v>
      </c>
      <c r="I297" s="74"/>
      <c r="J297" s="74" t="s">
        <v>1003</v>
      </c>
      <c r="K297" s="74" t="s">
        <v>1004</v>
      </c>
      <c r="L297" s="78" t="s">
        <v>1005</v>
      </c>
      <c r="M297" s="79"/>
      <c r="N297" s="76">
        <v>3</v>
      </c>
      <c r="O297" s="95"/>
      <c r="P297" s="80"/>
      <c r="Q297" s="76" t="s">
        <v>776</v>
      </c>
      <c r="R297" s="100">
        <v>43927</v>
      </c>
    </row>
    <row r="298" spans="1:18" ht="37.15" customHeight="1">
      <c r="A298" s="89" t="s">
        <v>1006</v>
      </c>
      <c r="B298" s="82" t="s">
        <v>53</v>
      </c>
      <c r="C298" s="83"/>
      <c r="D298" s="84" t="s">
        <v>39</v>
      </c>
      <c r="E298" s="85">
        <v>43915</v>
      </c>
      <c r="F298" s="85">
        <v>43946</v>
      </c>
      <c r="G298" s="82" t="s">
        <v>71</v>
      </c>
      <c r="H298" s="82" t="s">
        <v>1007</v>
      </c>
      <c r="I298" s="82"/>
      <c r="J298" s="82" t="s">
        <v>1003</v>
      </c>
      <c r="K298" s="82" t="s">
        <v>1008</v>
      </c>
      <c r="L298" s="86" t="s">
        <v>1009</v>
      </c>
      <c r="M298" s="79"/>
      <c r="N298" s="84">
        <v>3</v>
      </c>
      <c r="O298" s="95"/>
      <c r="P298" s="80"/>
      <c r="Q298" s="84" t="s">
        <v>776</v>
      </c>
      <c r="R298" s="101">
        <v>43927</v>
      </c>
    </row>
    <row r="299" spans="1:18" ht="37.15" customHeight="1">
      <c r="A299" s="90" t="s">
        <v>951</v>
      </c>
      <c r="B299" s="74" t="s">
        <v>53</v>
      </c>
      <c r="C299" s="75"/>
      <c r="D299" s="76" t="s">
        <v>39</v>
      </c>
      <c r="E299" s="77">
        <v>43920</v>
      </c>
      <c r="F299" s="77">
        <v>43951</v>
      </c>
      <c r="G299" s="74" t="s">
        <v>71</v>
      </c>
      <c r="H299" s="74" t="s">
        <v>1010</v>
      </c>
      <c r="I299" s="74"/>
      <c r="J299" s="74" t="s">
        <v>56</v>
      </c>
      <c r="K299" s="74" t="s">
        <v>1011</v>
      </c>
      <c r="L299" s="78" t="s">
        <v>1012</v>
      </c>
      <c r="M299" s="79"/>
      <c r="N299" s="76">
        <v>3</v>
      </c>
      <c r="O299" s="95"/>
      <c r="P299" s="80"/>
      <c r="Q299" s="76" t="s">
        <v>776</v>
      </c>
      <c r="R299" s="100">
        <v>43922</v>
      </c>
    </row>
    <row r="300" spans="1:18" ht="37.15" hidden="1" customHeight="1">
      <c r="A300" s="89" t="s">
        <v>1013</v>
      </c>
      <c r="B300" s="82" t="s">
        <v>47</v>
      </c>
      <c r="C300" s="83"/>
      <c r="D300" s="84" t="s">
        <v>39</v>
      </c>
      <c r="E300" s="85">
        <v>43920</v>
      </c>
      <c r="F300" s="85">
        <v>43951</v>
      </c>
      <c r="G300" s="82" t="s">
        <v>71</v>
      </c>
      <c r="H300" s="82" t="s">
        <v>1014</v>
      </c>
      <c r="I300" s="82"/>
      <c r="J300" s="82" t="s">
        <v>56</v>
      </c>
      <c r="K300" s="82" t="s">
        <v>1015</v>
      </c>
      <c r="L300" s="86" t="s">
        <v>1016</v>
      </c>
      <c r="M300" s="79"/>
      <c r="N300" s="84">
        <v>3</v>
      </c>
      <c r="O300" s="95"/>
      <c r="P300" s="80"/>
      <c r="Q300" s="84" t="s">
        <v>45</v>
      </c>
      <c r="R300" s="103"/>
    </row>
    <row r="301" spans="1:18" ht="37.15" hidden="1" customHeight="1">
      <c r="A301" s="90" t="s">
        <v>1017</v>
      </c>
      <c r="B301" s="74" t="s">
        <v>47</v>
      </c>
      <c r="C301" s="75"/>
      <c r="D301" s="76" t="s">
        <v>39</v>
      </c>
      <c r="E301" s="77">
        <v>43921</v>
      </c>
      <c r="F301" s="77">
        <v>43951</v>
      </c>
      <c r="G301" s="74" t="s">
        <v>71</v>
      </c>
      <c r="H301" s="74" t="s">
        <v>1018</v>
      </c>
      <c r="I301" s="74"/>
      <c r="J301" s="74" t="s">
        <v>81</v>
      </c>
      <c r="K301" s="74"/>
      <c r="L301" s="78" t="s">
        <v>1019</v>
      </c>
      <c r="M301" s="79"/>
      <c r="N301" s="76">
        <v>3</v>
      </c>
      <c r="O301" s="95"/>
      <c r="P301" s="80"/>
      <c r="Q301" s="76" t="s">
        <v>45</v>
      </c>
      <c r="R301" s="104"/>
    </row>
    <row r="302" spans="1:18" ht="37.15" customHeight="1">
      <c r="A302" s="89" t="s">
        <v>1020</v>
      </c>
      <c r="B302" s="82" t="s">
        <v>53</v>
      </c>
      <c r="C302" s="83"/>
      <c r="D302" s="84" t="s">
        <v>39</v>
      </c>
      <c r="E302" s="85">
        <v>43934</v>
      </c>
      <c r="F302" s="85">
        <v>43964</v>
      </c>
      <c r="G302" s="82" t="s">
        <v>71</v>
      </c>
      <c r="H302" s="91" t="s">
        <v>234</v>
      </c>
      <c r="I302" s="91"/>
      <c r="J302" s="82" t="s">
        <v>56</v>
      </c>
      <c r="K302" s="82" t="s">
        <v>1021</v>
      </c>
      <c r="L302" s="86" t="s">
        <v>1022</v>
      </c>
      <c r="M302" s="79"/>
      <c r="N302" s="84">
        <v>3</v>
      </c>
      <c r="O302" s="95"/>
      <c r="P302" s="80"/>
      <c r="Q302" s="84" t="s">
        <v>45</v>
      </c>
      <c r="R302" s="101">
        <v>43938</v>
      </c>
    </row>
    <row r="303" spans="1:18" ht="37.15" customHeight="1">
      <c r="A303" s="90" t="s">
        <v>1023</v>
      </c>
      <c r="B303" s="74" t="s">
        <v>53</v>
      </c>
      <c r="C303" s="75"/>
      <c r="D303" s="76" t="s">
        <v>39</v>
      </c>
      <c r="E303" s="77">
        <v>43927</v>
      </c>
      <c r="F303" s="77">
        <v>43956</v>
      </c>
      <c r="G303" s="74" t="s">
        <v>71</v>
      </c>
      <c r="H303" s="92" t="s">
        <v>234</v>
      </c>
      <c r="I303" s="92"/>
      <c r="J303" s="74" t="s">
        <v>56</v>
      </c>
      <c r="K303" s="74" t="s">
        <v>886</v>
      </c>
      <c r="L303" s="78" t="s">
        <v>1024</v>
      </c>
      <c r="M303" s="79"/>
      <c r="N303" s="76">
        <v>3</v>
      </c>
      <c r="O303" s="95"/>
      <c r="P303" s="80"/>
      <c r="Q303" s="76" t="s">
        <v>776</v>
      </c>
      <c r="R303" s="100">
        <v>43938</v>
      </c>
    </row>
    <row r="304" spans="1:18" ht="37.15" customHeight="1">
      <c r="A304" s="89" t="s">
        <v>1025</v>
      </c>
      <c r="B304" s="82" t="s">
        <v>53</v>
      </c>
      <c r="C304" s="83"/>
      <c r="D304" s="84" t="s">
        <v>39</v>
      </c>
      <c r="E304" s="85">
        <v>43922</v>
      </c>
      <c r="F304" s="85">
        <v>43952</v>
      </c>
      <c r="G304" s="82" t="s">
        <v>71</v>
      </c>
      <c r="H304" s="91" t="s">
        <v>1026</v>
      </c>
      <c r="I304" s="91"/>
      <c r="J304" s="82" t="s">
        <v>618</v>
      </c>
      <c r="K304" s="82" t="s">
        <v>1027</v>
      </c>
      <c r="L304" s="86" t="s">
        <v>1028</v>
      </c>
      <c r="M304" s="79"/>
      <c r="N304" s="84">
        <v>3</v>
      </c>
      <c r="O304" s="95"/>
      <c r="P304" s="80"/>
      <c r="Q304" s="84" t="s">
        <v>776</v>
      </c>
      <c r="R304" s="101">
        <v>43927</v>
      </c>
    </row>
    <row r="305" spans="1:18" ht="37.15" customHeight="1">
      <c r="A305" s="90" t="s">
        <v>1029</v>
      </c>
      <c r="B305" s="74" t="s">
        <v>53</v>
      </c>
      <c r="C305" s="75"/>
      <c r="D305" s="76" t="s">
        <v>39</v>
      </c>
      <c r="E305" s="77">
        <v>43935</v>
      </c>
      <c r="F305" s="77">
        <v>43965</v>
      </c>
      <c r="G305" s="74" t="s">
        <v>71</v>
      </c>
      <c r="H305" s="74" t="s">
        <v>1030</v>
      </c>
      <c r="I305" s="74"/>
      <c r="J305" s="74" t="s">
        <v>385</v>
      </c>
      <c r="K305" s="74" t="s">
        <v>1031</v>
      </c>
      <c r="L305" s="78" t="s">
        <v>1032</v>
      </c>
      <c r="M305" s="79"/>
      <c r="N305" s="76">
        <v>3</v>
      </c>
      <c r="O305" s="95"/>
      <c r="P305" s="80"/>
      <c r="Q305" s="76" t="s">
        <v>45</v>
      </c>
      <c r="R305" s="100">
        <v>43943</v>
      </c>
    </row>
    <row r="306" spans="1:18" ht="37.15" customHeight="1">
      <c r="A306" s="89" t="s">
        <v>1033</v>
      </c>
      <c r="B306" s="82" t="s">
        <v>53</v>
      </c>
      <c r="C306" s="83"/>
      <c r="D306" s="84" t="s">
        <v>39</v>
      </c>
      <c r="E306" s="85">
        <v>43935</v>
      </c>
      <c r="F306" s="85">
        <v>43965</v>
      </c>
      <c r="G306" s="82" t="s">
        <v>71</v>
      </c>
      <c r="H306" s="82" t="s">
        <v>1010</v>
      </c>
      <c r="I306" s="82"/>
      <c r="J306" s="82" t="s">
        <v>385</v>
      </c>
      <c r="K306" s="82" t="s">
        <v>1034</v>
      </c>
      <c r="L306" s="86" t="s">
        <v>1035</v>
      </c>
      <c r="M306" s="79"/>
      <c r="N306" s="84">
        <v>3</v>
      </c>
      <c r="O306" s="95"/>
      <c r="P306" s="80"/>
      <c r="Q306" s="84" t="s">
        <v>45</v>
      </c>
      <c r="R306" s="101">
        <v>43938</v>
      </c>
    </row>
    <row r="307" spans="1:18" ht="37.15" customHeight="1">
      <c r="A307" s="90" t="s">
        <v>1036</v>
      </c>
      <c r="B307" s="74" t="s">
        <v>53</v>
      </c>
      <c r="C307" s="75"/>
      <c r="D307" s="76" t="s">
        <v>39</v>
      </c>
      <c r="E307" s="77">
        <v>43991</v>
      </c>
      <c r="F307" s="77">
        <v>44021</v>
      </c>
      <c r="G307" s="74" t="s">
        <v>886</v>
      </c>
      <c r="H307" s="74" t="s">
        <v>1037</v>
      </c>
      <c r="I307" s="74"/>
      <c r="J307" s="74" t="s">
        <v>385</v>
      </c>
      <c r="K307" s="74" t="s">
        <v>886</v>
      </c>
      <c r="L307" s="107" t="s">
        <v>1038</v>
      </c>
      <c r="M307" s="108"/>
      <c r="N307" s="76">
        <v>3</v>
      </c>
      <c r="O307" s="95"/>
      <c r="P307" s="80"/>
      <c r="Q307" s="76" t="s">
        <v>45</v>
      </c>
      <c r="R307" s="104"/>
    </row>
    <row r="308" spans="1:18" ht="37.15" hidden="1" customHeight="1">
      <c r="A308" s="89" t="s">
        <v>1039</v>
      </c>
      <c r="B308" s="82" t="s">
        <v>47</v>
      </c>
      <c r="C308" s="83"/>
      <c r="D308" s="84" t="s">
        <v>39</v>
      </c>
      <c r="E308" s="85" t="s">
        <v>1040</v>
      </c>
      <c r="F308" s="85" t="s">
        <v>1041</v>
      </c>
      <c r="G308" s="82" t="s">
        <v>71</v>
      </c>
      <c r="H308" s="82" t="s">
        <v>1042</v>
      </c>
      <c r="I308" s="82"/>
      <c r="J308" s="82" t="s">
        <v>1043</v>
      </c>
      <c r="K308" s="82">
        <v>507614</v>
      </c>
      <c r="L308" s="86" t="s">
        <v>1044</v>
      </c>
      <c r="M308" s="79"/>
      <c r="N308" s="84">
        <v>3</v>
      </c>
      <c r="O308" s="95"/>
      <c r="P308" s="80"/>
      <c r="Q308" s="84" t="s">
        <v>42</v>
      </c>
      <c r="R308" s="103"/>
    </row>
    <row r="309" spans="1:18" ht="37.15" customHeight="1">
      <c r="A309" s="90" t="s">
        <v>1045</v>
      </c>
      <c r="B309" s="74" t="s">
        <v>53</v>
      </c>
      <c r="C309" s="75"/>
      <c r="D309" s="76" t="s">
        <v>39</v>
      </c>
      <c r="E309" s="77">
        <v>43934</v>
      </c>
      <c r="F309" s="77">
        <v>43964</v>
      </c>
      <c r="G309" s="74" t="s">
        <v>71</v>
      </c>
      <c r="H309" s="92" t="s">
        <v>1046</v>
      </c>
      <c r="I309" s="92"/>
      <c r="J309" s="74" t="s">
        <v>385</v>
      </c>
      <c r="K309" s="74" t="s">
        <v>1047</v>
      </c>
      <c r="L309" s="78" t="s">
        <v>1048</v>
      </c>
      <c r="M309" s="79"/>
      <c r="N309" s="76">
        <v>3</v>
      </c>
      <c r="O309" s="95"/>
      <c r="P309" s="80"/>
      <c r="Q309" s="76" t="s">
        <v>45</v>
      </c>
      <c r="R309" s="100">
        <v>43942</v>
      </c>
    </row>
    <row r="310" spans="1:18" ht="37.15" customHeight="1">
      <c r="A310" s="89" t="s">
        <v>1049</v>
      </c>
      <c r="B310" s="82" t="s">
        <v>53</v>
      </c>
      <c r="C310" s="83"/>
      <c r="D310" s="84" t="s">
        <v>39</v>
      </c>
      <c r="E310" s="85">
        <v>43935</v>
      </c>
      <c r="F310" s="85">
        <v>43965</v>
      </c>
      <c r="G310" s="82" t="s">
        <v>71</v>
      </c>
      <c r="H310" s="82" t="s">
        <v>1050</v>
      </c>
      <c r="I310" s="82"/>
      <c r="J310" s="82" t="s">
        <v>56</v>
      </c>
      <c r="K310" s="82" t="s">
        <v>1051</v>
      </c>
      <c r="L310" s="86" t="s">
        <v>1052</v>
      </c>
      <c r="M310" s="79"/>
      <c r="N310" s="84">
        <v>3</v>
      </c>
      <c r="O310" s="95"/>
      <c r="P310" s="80"/>
      <c r="Q310" s="84" t="s">
        <v>45</v>
      </c>
      <c r="R310" s="101">
        <v>43942</v>
      </c>
    </row>
    <row r="311" spans="1:18" ht="37.15" customHeight="1">
      <c r="A311" s="90" t="s">
        <v>1053</v>
      </c>
      <c r="B311" s="74" t="s">
        <v>53</v>
      </c>
      <c r="C311" s="75"/>
      <c r="D311" s="76" t="s">
        <v>39</v>
      </c>
      <c r="E311" s="77">
        <v>43937</v>
      </c>
      <c r="F311" s="77">
        <v>43966</v>
      </c>
      <c r="G311" s="74" t="s">
        <v>71</v>
      </c>
      <c r="H311" s="58" t="s">
        <v>1054</v>
      </c>
      <c r="I311" s="58"/>
      <c r="J311" s="74" t="s">
        <v>98</v>
      </c>
      <c r="K311" s="74" t="s">
        <v>1055</v>
      </c>
      <c r="L311" s="78" t="s">
        <v>1056</v>
      </c>
      <c r="M311" s="79"/>
      <c r="N311" s="76">
        <v>3</v>
      </c>
      <c r="O311" s="95"/>
      <c r="P311" s="80"/>
      <c r="Q311" s="76" t="s">
        <v>45</v>
      </c>
      <c r="R311" s="100">
        <v>43942</v>
      </c>
    </row>
    <row r="312" spans="1:18" ht="37.15" customHeight="1">
      <c r="A312" s="89" t="s">
        <v>1057</v>
      </c>
      <c r="B312" s="82" t="s">
        <v>53</v>
      </c>
      <c r="C312" s="83"/>
      <c r="D312" s="84" t="s">
        <v>39</v>
      </c>
      <c r="E312" s="85">
        <v>43937</v>
      </c>
      <c r="F312" s="85">
        <v>43966</v>
      </c>
      <c r="G312" s="82" t="s">
        <v>71</v>
      </c>
      <c r="H312" s="91" t="s">
        <v>1058</v>
      </c>
      <c r="I312" s="91"/>
      <c r="J312" s="82" t="s">
        <v>98</v>
      </c>
      <c r="K312" s="82" t="s">
        <v>1059</v>
      </c>
      <c r="L312" s="86" t="s">
        <v>1060</v>
      </c>
      <c r="M312" s="79"/>
      <c r="N312" s="84">
        <v>3</v>
      </c>
      <c r="O312" s="95"/>
      <c r="P312" s="80"/>
      <c r="Q312" s="84" t="s">
        <v>45</v>
      </c>
      <c r="R312" s="101">
        <v>43943</v>
      </c>
    </row>
    <row r="313" spans="1:18" ht="37.15" customHeight="1">
      <c r="A313" s="90" t="s">
        <v>1061</v>
      </c>
      <c r="B313" s="74" t="s">
        <v>53</v>
      </c>
      <c r="C313" s="75"/>
      <c r="D313" s="76" t="s">
        <v>39</v>
      </c>
      <c r="E313" s="77">
        <v>43942</v>
      </c>
      <c r="F313" s="77">
        <v>43972</v>
      </c>
      <c r="G313" s="74" t="s">
        <v>71</v>
      </c>
      <c r="H313" s="74" t="s">
        <v>1062</v>
      </c>
      <c r="I313" s="74"/>
      <c r="J313" s="74" t="s">
        <v>56</v>
      </c>
      <c r="K313" s="74" t="s">
        <v>1063</v>
      </c>
      <c r="L313" s="78" t="s">
        <v>1064</v>
      </c>
      <c r="M313" s="79"/>
      <c r="N313" s="76">
        <v>3</v>
      </c>
      <c r="O313" s="95"/>
      <c r="P313" s="80"/>
      <c r="Q313" s="76" t="s">
        <v>45</v>
      </c>
      <c r="R313" s="100">
        <v>43945</v>
      </c>
    </row>
    <row r="314" spans="1:18" ht="37.15" customHeight="1">
      <c r="A314" s="89" t="s">
        <v>1065</v>
      </c>
      <c r="B314" s="82" t="s">
        <v>53</v>
      </c>
      <c r="C314" s="83"/>
      <c r="D314" s="84" t="s">
        <v>117</v>
      </c>
      <c r="E314" s="85" t="s">
        <v>1040</v>
      </c>
      <c r="F314" s="85" t="s">
        <v>1066</v>
      </c>
      <c r="G314" s="82" t="s">
        <v>1067</v>
      </c>
      <c r="H314" s="82" t="s">
        <v>1068</v>
      </c>
      <c r="I314" s="82"/>
      <c r="J314" s="82" t="s">
        <v>1069</v>
      </c>
      <c r="K314" s="82" t="s">
        <v>1070</v>
      </c>
      <c r="L314" s="86" t="s">
        <v>1071</v>
      </c>
      <c r="M314" s="79"/>
      <c r="N314" s="84">
        <v>3</v>
      </c>
      <c r="O314" s="95"/>
      <c r="P314" s="80"/>
      <c r="Q314" s="84" t="s">
        <v>45</v>
      </c>
      <c r="R314" s="109" t="s">
        <v>1072</v>
      </c>
    </row>
    <row r="315" spans="1:18" ht="37.15" customHeight="1">
      <c r="A315" s="90" t="s">
        <v>1073</v>
      </c>
      <c r="B315" s="74" t="s">
        <v>53</v>
      </c>
      <c r="C315" s="75"/>
      <c r="D315" s="76" t="s">
        <v>39</v>
      </c>
      <c r="E315" s="77">
        <v>43942</v>
      </c>
      <c r="F315" s="77">
        <v>43972</v>
      </c>
      <c r="G315" s="74" t="s">
        <v>71</v>
      </c>
      <c r="H315" s="92" t="s">
        <v>966</v>
      </c>
      <c r="I315" s="92"/>
      <c r="J315" s="74" t="s">
        <v>316</v>
      </c>
      <c r="K315" s="74" t="s">
        <v>1074</v>
      </c>
      <c r="L315" s="78" t="s">
        <v>1075</v>
      </c>
      <c r="M315" s="79"/>
      <c r="N315" s="76">
        <v>3</v>
      </c>
      <c r="O315" s="95"/>
      <c r="P315" s="80"/>
      <c r="Q315" s="76" t="s">
        <v>45</v>
      </c>
      <c r="R315" s="100">
        <v>43945</v>
      </c>
    </row>
    <row r="316" spans="1:18" ht="37.15" customHeight="1">
      <c r="A316" s="89" t="s">
        <v>1076</v>
      </c>
      <c r="B316" s="82" t="s">
        <v>53</v>
      </c>
      <c r="C316" s="83"/>
      <c r="D316" s="84" t="s">
        <v>39</v>
      </c>
      <c r="E316" s="85">
        <v>43942</v>
      </c>
      <c r="F316" s="85">
        <v>43972</v>
      </c>
      <c r="G316" s="82" t="s">
        <v>71</v>
      </c>
      <c r="H316" s="82" t="s">
        <v>1077</v>
      </c>
      <c r="I316" s="82"/>
      <c r="J316" s="82" t="s">
        <v>228</v>
      </c>
      <c r="K316" s="82" t="s">
        <v>1078</v>
      </c>
      <c r="L316" s="86" t="s">
        <v>1079</v>
      </c>
      <c r="M316" s="79"/>
      <c r="N316" s="84">
        <v>5</v>
      </c>
      <c r="O316" s="95"/>
      <c r="P316" s="80"/>
      <c r="Q316" s="84" t="s">
        <v>45</v>
      </c>
      <c r="R316" s="101">
        <v>43945</v>
      </c>
    </row>
    <row r="317" spans="1:18" ht="37.15" customHeight="1">
      <c r="A317" s="90" t="s">
        <v>1080</v>
      </c>
      <c r="B317" s="74" t="s">
        <v>53</v>
      </c>
      <c r="C317" s="75"/>
      <c r="D317" s="76" t="s">
        <v>39</v>
      </c>
      <c r="E317" s="77">
        <v>43942</v>
      </c>
      <c r="F317" s="77">
        <v>43972</v>
      </c>
      <c r="G317" s="74" t="s">
        <v>71</v>
      </c>
      <c r="H317" s="74" t="s">
        <v>1081</v>
      </c>
      <c r="I317" s="74"/>
      <c r="J317" s="74" t="s">
        <v>228</v>
      </c>
      <c r="K317" s="74" t="s">
        <v>1082</v>
      </c>
      <c r="L317" s="78" t="s">
        <v>1083</v>
      </c>
      <c r="M317" s="79"/>
      <c r="N317" s="76">
        <v>3</v>
      </c>
      <c r="O317" s="95"/>
      <c r="P317" s="80"/>
      <c r="Q317" s="76" t="s">
        <v>45</v>
      </c>
      <c r="R317" s="100">
        <v>43945</v>
      </c>
    </row>
    <row r="318" spans="1:18" ht="37.15" customHeight="1">
      <c r="A318" s="89" t="s">
        <v>1084</v>
      </c>
      <c r="B318" s="82" t="s">
        <v>53</v>
      </c>
      <c r="C318" s="83"/>
      <c r="D318" s="84" t="s">
        <v>39</v>
      </c>
      <c r="E318" s="85">
        <v>43943</v>
      </c>
      <c r="F318" s="85">
        <v>43973</v>
      </c>
      <c r="G318" s="82" t="s">
        <v>71</v>
      </c>
      <c r="H318" s="82" t="s">
        <v>1085</v>
      </c>
      <c r="I318" s="82"/>
      <c r="J318" s="82" t="s">
        <v>385</v>
      </c>
      <c r="K318" s="82" t="s">
        <v>1086</v>
      </c>
      <c r="L318" s="86" t="s">
        <v>1087</v>
      </c>
      <c r="M318" s="79"/>
      <c r="N318" s="84">
        <v>3</v>
      </c>
      <c r="O318" s="95"/>
      <c r="P318" s="80"/>
      <c r="Q318" s="84" t="s">
        <v>45</v>
      </c>
      <c r="R318" s="101">
        <v>43949</v>
      </c>
    </row>
    <row r="319" spans="1:18" ht="37.15" customHeight="1">
      <c r="A319" s="90" t="s">
        <v>1088</v>
      </c>
      <c r="B319" s="74" t="s">
        <v>53</v>
      </c>
      <c r="C319" s="75"/>
      <c r="D319" s="76" t="s">
        <v>117</v>
      </c>
      <c r="E319" s="77">
        <v>43943</v>
      </c>
      <c r="F319" s="77" t="s">
        <v>1066</v>
      </c>
      <c r="G319" s="74" t="s">
        <v>71</v>
      </c>
      <c r="H319" s="74" t="s">
        <v>1089</v>
      </c>
      <c r="I319" s="74"/>
      <c r="J319" s="74" t="s">
        <v>1090</v>
      </c>
      <c r="K319" s="74" t="s">
        <v>1091</v>
      </c>
      <c r="L319" s="78" t="s">
        <v>1092</v>
      </c>
      <c r="M319" s="79"/>
      <c r="N319" s="76">
        <v>3</v>
      </c>
      <c r="O319" s="95"/>
      <c r="P319" s="80"/>
      <c r="Q319" s="76" t="s">
        <v>45</v>
      </c>
      <c r="R319" s="100">
        <v>43945</v>
      </c>
    </row>
    <row r="320" spans="1:18" ht="37.15" customHeight="1">
      <c r="A320" s="89" t="s">
        <v>1093</v>
      </c>
      <c r="B320" s="82" t="s">
        <v>53</v>
      </c>
      <c r="C320" s="83"/>
      <c r="D320" s="84" t="s">
        <v>117</v>
      </c>
      <c r="E320" s="85">
        <v>43945</v>
      </c>
      <c r="F320" s="85" t="s">
        <v>1066</v>
      </c>
      <c r="G320" s="82" t="s">
        <v>71</v>
      </c>
      <c r="H320" s="82" t="s">
        <v>1094</v>
      </c>
      <c r="I320" s="82"/>
      <c r="J320" s="82" t="s">
        <v>56</v>
      </c>
      <c r="K320" s="82" t="s">
        <v>1095</v>
      </c>
      <c r="L320" s="86" t="s">
        <v>1096</v>
      </c>
      <c r="M320" s="79"/>
      <c r="N320" s="84">
        <v>3</v>
      </c>
      <c r="O320" s="95"/>
      <c r="P320" s="80"/>
      <c r="Q320" s="84"/>
      <c r="R320" s="103"/>
    </row>
    <row r="321" spans="1:18" ht="37.15" hidden="1" customHeight="1">
      <c r="A321" s="90" t="s">
        <v>1097</v>
      </c>
      <c r="B321" s="74" t="s">
        <v>47</v>
      </c>
      <c r="C321" s="75"/>
      <c r="D321" s="76" t="s">
        <v>39</v>
      </c>
      <c r="E321" s="77">
        <v>43950</v>
      </c>
      <c r="F321" s="77">
        <v>43980</v>
      </c>
      <c r="G321" s="74" t="s">
        <v>71</v>
      </c>
      <c r="H321" s="92" t="s">
        <v>1098</v>
      </c>
      <c r="I321" s="92"/>
      <c r="J321" s="74" t="s">
        <v>56</v>
      </c>
      <c r="K321" s="74" t="s">
        <v>1099</v>
      </c>
      <c r="L321" s="78" t="s">
        <v>1100</v>
      </c>
      <c r="M321" s="79"/>
      <c r="N321" s="76"/>
      <c r="O321" s="95"/>
      <c r="P321" s="80"/>
      <c r="Q321" s="76" t="s">
        <v>45</v>
      </c>
      <c r="R321" s="100"/>
    </row>
    <row r="322" spans="1:18" ht="37.15" customHeight="1">
      <c r="A322" s="89" t="s">
        <v>1101</v>
      </c>
      <c r="B322" s="82" t="s">
        <v>53</v>
      </c>
      <c r="C322" s="83"/>
      <c r="D322" s="84" t="s">
        <v>39</v>
      </c>
      <c r="E322" s="85">
        <v>43950</v>
      </c>
      <c r="F322" s="85">
        <v>43980</v>
      </c>
      <c r="G322" s="82" t="s">
        <v>71</v>
      </c>
      <c r="H322" s="82" t="s">
        <v>1102</v>
      </c>
      <c r="I322" s="82"/>
      <c r="J322" s="82" t="s">
        <v>605</v>
      </c>
      <c r="K322" s="82" t="s">
        <v>1103</v>
      </c>
      <c r="L322" s="86" t="s">
        <v>1104</v>
      </c>
      <c r="M322" s="79"/>
      <c r="N322" s="84">
        <v>7</v>
      </c>
      <c r="O322" s="95"/>
      <c r="P322" s="80"/>
      <c r="Q322" s="84" t="s">
        <v>45</v>
      </c>
      <c r="R322" s="101">
        <v>43958</v>
      </c>
    </row>
    <row r="323" spans="1:18" ht="37.15" customHeight="1">
      <c r="A323" s="90" t="s">
        <v>1105</v>
      </c>
      <c r="B323" s="74" t="s">
        <v>53</v>
      </c>
      <c r="C323" s="75"/>
      <c r="D323" s="76" t="s">
        <v>39</v>
      </c>
      <c r="E323" s="77">
        <v>43952</v>
      </c>
      <c r="F323" s="77">
        <v>43983</v>
      </c>
      <c r="G323" s="74" t="s">
        <v>71</v>
      </c>
      <c r="H323" s="74" t="s">
        <v>1106</v>
      </c>
      <c r="I323" s="74"/>
      <c r="J323" s="74" t="s">
        <v>56</v>
      </c>
      <c r="K323" s="74" t="s">
        <v>1107</v>
      </c>
      <c r="L323" s="78" t="s">
        <v>1108</v>
      </c>
      <c r="M323" s="79"/>
      <c r="N323" s="76">
        <v>3</v>
      </c>
      <c r="O323" s="95"/>
      <c r="P323" s="80"/>
      <c r="Q323" s="76" t="s">
        <v>45</v>
      </c>
      <c r="R323" s="100">
        <v>43958</v>
      </c>
    </row>
    <row r="324" spans="1:18" ht="37.15" customHeight="1">
      <c r="A324" s="89" t="s">
        <v>1109</v>
      </c>
      <c r="B324" s="82" t="s">
        <v>53</v>
      </c>
      <c r="C324" s="83"/>
      <c r="D324" s="84" t="s">
        <v>39</v>
      </c>
      <c r="E324" s="85">
        <v>43952</v>
      </c>
      <c r="F324" s="85">
        <v>43983</v>
      </c>
      <c r="G324" s="82" t="s">
        <v>71</v>
      </c>
      <c r="H324" s="91" t="s">
        <v>1110</v>
      </c>
      <c r="I324" s="91"/>
      <c r="J324" s="82" t="s">
        <v>56</v>
      </c>
      <c r="K324" s="82" t="s">
        <v>886</v>
      </c>
      <c r="L324" s="86" t="s">
        <v>1111</v>
      </c>
      <c r="M324" s="79"/>
      <c r="N324" s="84">
        <v>3</v>
      </c>
      <c r="O324" s="95"/>
      <c r="P324" s="80"/>
      <c r="Q324" s="84" t="s">
        <v>45</v>
      </c>
      <c r="R324" s="101">
        <v>43958</v>
      </c>
    </row>
    <row r="325" spans="1:18" ht="37.15" customHeight="1">
      <c r="A325" s="90" t="s">
        <v>1112</v>
      </c>
      <c r="B325" s="74" t="s">
        <v>53</v>
      </c>
      <c r="C325" s="75"/>
      <c r="D325" s="76" t="s">
        <v>117</v>
      </c>
      <c r="E325" s="77">
        <v>43957</v>
      </c>
      <c r="F325" s="77" t="s">
        <v>1066</v>
      </c>
      <c r="G325" s="74" t="s">
        <v>71</v>
      </c>
      <c r="H325" s="74" t="s">
        <v>1113</v>
      </c>
      <c r="I325" s="74"/>
      <c r="J325" s="74" t="s">
        <v>399</v>
      </c>
      <c r="K325" s="74" t="s">
        <v>1114</v>
      </c>
      <c r="L325" s="78" t="s">
        <v>1115</v>
      </c>
      <c r="M325" s="79"/>
      <c r="N325" s="76">
        <v>3</v>
      </c>
      <c r="O325" s="95"/>
      <c r="P325" s="80"/>
      <c r="Q325" s="76" t="s">
        <v>45</v>
      </c>
      <c r="R325" s="100">
        <v>43976</v>
      </c>
    </row>
    <row r="326" spans="1:18" ht="37.15" customHeight="1">
      <c r="A326" s="89" t="s">
        <v>1116</v>
      </c>
      <c r="B326" s="82" t="s">
        <v>53</v>
      </c>
      <c r="C326" s="83"/>
      <c r="D326" s="84" t="s">
        <v>39</v>
      </c>
      <c r="E326" s="85">
        <v>43959</v>
      </c>
      <c r="F326" s="85">
        <v>43990</v>
      </c>
      <c r="G326" s="82" t="s">
        <v>71</v>
      </c>
      <c r="H326" s="82" t="s">
        <v>1117</v>
      </c>
      <c r="I326" s="82"/>
      <c r="J326" s="82" t="s">
        <v>792</v>
      </c>
      <c r="K326" s="82" t="s">
        <v>1118</v>
      </c>
      <c r="L326" s="93" t="s">
        <v>1119</v>
      </c>
      <c r="M326" s="94"/>
      <c r="N326" s="84">
        <v>4</v>
      </c>
      <c r="O326" s="95"/>
      <c r="P326" s="80"/>
      <c r="Q326" s="84" t="s">
        <v>45</v>
      </c>
      <c r="R326" s="101">
        <v>43978</v>
      </c>
    </row>
    <row r="327" spans="1:18" ht="37.15" customHeight="1">
      <c r="A327" s="90" t="s">
        <v>1120</v>
      </c>
      <c r="B327" s="74" t="s">
        <v>53</v>
      </c>
      <c r="C327" s="75"/>
      <c r="D327" s="76" t="s">
        <v>39</v>
      </c>
      <c r="E327" s="77">
        <v>43965</v>
      </c>
      <c r="F327" s="77">
        <v>43996</v>
      </c>
      <c r="G327" s="74" t="s">
        <v>886</v>
      </c>
      <c r="H327" s="74" t="s">
        <v>1121</v>
      </c>
      <c r="I327" s="74"/>
      <c r="J327" s="74" t="s">
        <v>385</v>
      </c>
      <c r="K327" s="74" t="s">
        <v>886</v>
      </c>
      <c r="L327" s="78" t="s">
        <v>1122</v>
      </c>
      <c r="M327" s="79"/>
      <c r="N327" s="76">
        <v>3</v>
      </c>
      <c r="O327" s="95"/>
      <c r="P327" s="80"/>
      <c r="Q327" s="76" t="s">
        <v>45</v>
      </c>
      <c r="R327" s="100">
        <v>43978</v>
      </c>
    </row>
    <row r="328" spans="1:18" ht="37.15" customHeight="1">
      <c r="A328" s="89" t="s">
        <v>1123</v>
      </c>
      <c r="B328" s="82" t="s">
        <v>53</v>
      </c>
      <c r="C328" s="83"/>
      <c r="D328" s="84" t="s">
        <v>39</v>
      </c>
      <c r="E328" s="85">
        <v>43965</v>
      </c>
      <c r="F328" s="85">
        <v>43996</v>
      </c>
      <c r="G328" s="82" t="s">
        <v>60</v>
      </c>
      <c r="H328" s="82" t="s">
        <v>204</v>
      </c>
      <c r="I328" s="82"/>
      <c r="J328" s="82" t="s">
        <v>702</v>
      </c>
      <c r="K328" s="82" t="s">
        <v>407</v>
      </c>
      <c r="L328" s="86" t="s">
        <v>1124</v>
      </c>
      <c r="M328" s="79"/>
      <c r="N328" s="84">
        <v>3</v>
      </c>
      <c r="O328" s="95"/>
      <c r="P328" s="80"/>
      <c r="Q328" s="105" t="s">
        <v>45</v>
      </c>
      <c r="R328" s="101">
        <v>43976</v>
      </c>
    </row>
    <row r="329" spans="1:18" ht="37.15" customHeight="1">
      <c r="A329" s="90" t="s">
        <v>1125</v>
      </c>
      <c r="B329" s="74" t="s">
        <v>53</v>
      </c>
      <c r="C329" s="75"/>
      <c r="D329" s="76" t="s">
        <v>39</v>
      </c>
      <c r="E329" s="77">
        <v>43965</v>
      </c>
      <c r="F329" s="77">
        <v>43996</v>
      </c>
      <c r="G329" s="74" t="s">
        <v>71</v>
      </c>
      <c r="H329" s="74" t="s">
        <v>1126</v>
      </c>
      <c r="I329" s="74"/>
      <c r="J329" s="74" t="s">
        <v>1127</v>
      </c>
      <c r="K329" s="74" t="s">
        <v>1021</v>
      </c>
      <c r="L329" s="78" t="s">
        <v>1128</v>
      </c>
      <c r="M329" s="79"/>
      <c r="N329" s="76">
        <v>3</v>
      </c>
      <c r="O329" s="95"/>
      <c r="P329" s="80"/>
      <c r="Q329" s="76" t="s">
        <v>45</v>
      </c>
      <c r="R329" s="100">
        <v>44005</v>
      </c>
    </row>
    <row r="330" spans="1:18" ht="37.15" hidden="1" customHeight="1">
      <c r="A330" s="89" t="s">
        <v>1129</v>
      </c>
      <c r="B330" s="82" t="s">
        <v>47</v>
      </c>
      <c r="C330" s="83"/>
      <c r="D330" s="84" t="s">
        <v>39</v>
      </c>
      <c r="E330" s="85">
        <v>43965</v>
      </c>
      <c r="F330" s="85">
        <v>44012</v>
      </c>
      <c r="G330" s="82" t="s">
        <v>71</v>
      </c>
      <c r="H330" s="82" t="s">
        <v>1130</v>
      </c>
      <c r="I330" s="82"/>
      <c r="J330" s="82" t="s">
        <v>81</v>
      </c>
      <c r="K330" s="82" t="s">
        <v>886</v>
      </c>
      <c r="L330" s="86" t="s">
        <v>1131</v>
      </c>
      <c r="M330" s="79"/>
      <c r="N330" s="84">
        <v>3</v>
      </c>
      <c r="O330" s="95"/>
      <c r="P330" s="80"/>
      <c r="Q330" s="84" t="s">
        <v>776</v>
      </c>
      <c r="R330" s="101"/>
    </row>
    <row r="331" spans="1:18" ht="37.15" customHeight="1">
      <c r="A331" s="90" t="s">
        <v>1132</v>
      </c>
      <c r="B331" s="74" t="s">
        <v>53</v>
      </c>
      <c r="C331" s="75"/>
      <c r="D331" s="76" t="s">
        <v>117</v>
      </c>
      <c r="E331" s="77">
        <v>43970</v>
      </c>
      <c r="F331" s="77" t="s">
        <v>1066</v>
      </c>
      <c r="G331" s="74" t="s">
        <v>71</v>
      </c>
      <c r="H331" s="74" t="s">
        <v>210</v>
      </c>
      <c r="I331" s="74"/>
      <c r="J331" s="74" t="s">
        <v>1133</v>
      </c>
      <c r="K331" s="74" t="s">
        <v>1134</v>
      </c>
      <c r="L331" s="110" t="s">
        <v>1135</v>
      </c>
      <c r="M331" s="111"/>
      <c r="N331" s="76">
        <v>3</v>
      </c>
      <c r="O331" s="95"/>
      <c r="P331" s="80"/>
      <c r="Q331" s="76" t="s">
        <v>45</v>
      </c>
      <c r="R331" s="100">
        <v>43985</v>
      </c>
    </row>
    <row r="332" spans="1:18" ht="37.15" customHeight="1">
      <c r="A332" s="89" t="s">
        <v>1136</v>
      </c>
      <c r="B332" s="82" t="s">
        <v>53</v>
      </c>
      <c r="C332" s="83"/>
      <c r="D332" s="84" t="s">
        <v>39</v>
      </c>
      <c r="E332" s="85">
        <v>43978</v>
      </c>
      <c r="F332" s="85">
        <v>44009</v>
      </c>
      <c r="G332" s="82" t="s">
        <v>71</v>
      </c>
      <c r="H332" s="82" t="s">
        <v>1137</v>
      </c>
      <c r="I332" s="82"/>
      <c r="J332" s="82" t="s">
        <v>102</v>
      </c>
      <c r="K332" s="82" t="s">
        <v>1138</v>
      </c>
      <c r="L332" s="86" t="s">
        <v>1139</v>
      </c>
      <c r="M332" s="79"/>
      <c r="N332" s="84">
        <v>3</v>
      </c>
      <c r="O332" s="95"/>
      <c r="P332" s="80"/>
      <c r="Q332" s="84" t="s">
        <v>776</v>
      </c>
      <c r="R332" s="101">
        <v>43985</v>
      </c>
    </row>
    <row r="333" spans="1:18" ht="37.15" customHeight="1">
      <c r="A333" s="90" t="s">
        <v>1140</v>
      </c>
      <c r="B333" s="74" t="s">
        <v>53</v>
      </c>
      <c r="C333" s="75"/>
      <c r="D333" s="76" t="s">
        <v>39</v>
      </c>
      <c r="E333" s="77">
        <v>43978</v>
      </c>
      <c r="F333" s="77">
        <v>44009</v>
      </c>
      <c r="G333" s="74" t="s">
        <v>886</v>
      </c>
      <c r="H333" s="74" t="s">
        <v>1141</v>
      </c>
      <c r="I333" s="74"/>
      <c r="J333" s="74" t="s">
        <v>493</v>
      </c>
      <c r="K333" s="74" t="s">
        <v>886</v>
      </c>
      <c r="L333" s="78" t="s">
        <v>1142</v>
      </c>
      <c r="M333" s="79"/>
      <c r="N333" s="76">
        <v>3</v>
      </c>
      <c r="O333" s="95"/>
      <c r="P333" s="80"/>
      <c r="Q333" s="76" t="s">
        <v>45</v>
      </c>
      <c r="R333" s="100">
        <v>43986</v>
      </c>
    </row>
    <row r="334" spans="1:18" ht="37.15" customHeight="1">
      <c r="A334" s="89" t="s">
        <v>1143</v>
      </c>
      <c r="B334" s="82" t="s">
        <v>53</v>
      </c>
      <c r="C334" s="83"/>
      <c r="D334" s="84" t="s">
        <v>117</v>
      </c>
      <c r="E334" s="85">
        <v>44001</v>
      </c>
      <c r="F334" s="85">
        <v>44031</v>
      </c>
      <c r="G334" s="82" t="s">
        <v>886</v>
      </c>
      <c r="H334" s="82" t="s">
        <v>1126</v>
      </c>
      <c r="I334" s="82"/>
      <c r="J334" s="82" t="s">
        <v>56</v>
      </c>
      <c r="K334" s="82" t="s">
        <v>886</v>
      </c>
      <c r="L334" s="86" t="s">
        <v>1144</v>
      </c>
      <c r="M334" s="79"/>
      <c r="N334" s="84">
        <v>3</v>
      </c>
      <c r="O334" s="95"/>
      <c r="P334" s="80"/>
      <c r="Q334" s="84" t="s">
        <v>776</v>
      </c>
      <c r="R334" s="101"/>
    </row>
    <row r="335" spans="1:18" ht="37.15" customHeight="1">
      <c r="A335" s="90" t="s">
        <v>1145</v>
      </c>
      <c r="B335" s="74" t="s">
        <v>53</v>
      </c>
      <c r="C335" s="75"/>
      <c r="D335" s="76" t="s">
        <v>39</v>
      </c>
      <c r="E335" s="77">
        <v>43984</v>
      </c>
      <c r="F335" s="77">
        <v>44014</v>
      </c>
      <c r="G335" s="74" t="s">
        <v>886</v>
      </c>
      <c r="H335" s="74" t="s">
        <v>1146</v>
      </c>
      <c r="I335" s="74"/>
      <c r="J335" s="74" t="s">
        <v>56</v>
      </c>
      <c r="K335" s="74" t="s">
        <v>886</v>
      </c>
      <c r="L335" s="78" t="s">
        <v>1147</v>
      </c>
      <c r="M335" s="79"/>
      <c r="N335" s="76">
        <v>3</v>
      </c>
      <c r="O335" s="95"/>
      <c r="P335" s="80"/>
      <c r="Q335" s="76" t="s">
        <v>776</v>
      </c>
      <c r="R335" s="100">
        <v>43990</v>
      </c>
    </row>
    <row r="336" spans="1:18" ht="37.15" customHeight="1">
      <c r="A336" s="89" t="s">
        <v>1148</v>
      </c>
      <c r="B336" s="82" t="s">
        <v>53</v>
      </c>
      <c r="C336" s="83"/>
      <c r="D336" s="84" t="s">
        <v>39</v>
      </c>
      <c r="E336" s="85">
        <v>43984</v>
      </c>
      <c r="F336" s="85">
        <v>44014</v>
      </c>
      <c r="G336" s="82" t="s">
        <v>71</v>
      </c>
      <c r="H336" s="91" t="s">
        <v>1046</v>
      </c>
      <c r="I336" s="91"/>
      <c r="J336" s="82" t="s">
        <v>56</v>
      </c>
      <c r="K336" s="82" t="s">
        <v>1149</v>
      </c>
      <c r="L336" s="86" t="s">
        <v>1150</v>
      </c>
      <c r="M336" s="79"/>
      <c r="N336" s="84">
        <v>3</v>
      </c>
      <c r="O336" s="95"/>
      <c r="P336" s="80"/>
      <c r="Q336" s="84" t="s">
        <v>776</v>
      </c>
      <c r="R336" s="101">
        <v>43990</v>
      </c>
    </row>
    <row r="337" spans="1:18" ht="37.15" customHeight="1">
      <c r="A337" s="90" t="s">
        <v>1151</v>
      </c>
      <c r="B337" s="74" t="s">
        <v>53</v>
      </c>
      <c r="C337" s="75"/>
      <c r="D337" s="76" t="s">
        <v>39</v>
      </c>
      <c r="E337" s="77">
        <v>43987</v>
      </c>
      <c r="F337" s="77">
        <v>44017</v>
      </c>
      <c r="G337" s="74" t="s">
        <v>71</v>
      </c>
      <c r="H337" s="92" t="s">
        <v>1152</v>
      </c>
      <c r="I337" s="92"/>
      <c r="J337" s="74" t="s">
        <v>316</v>
      </c>
      <c r="K337" s="74" t="s">
        <v>1153</v>
      </c>
      <c r="L337" s="78" t="s">
        <v>1154</v>
      </c>
      <c r="M337" s="79"/>
      <c r="N337" s="76">
        <v>3</v>
      </c>
      <c r="O337" s="95"/>
      <c r="P337" s="80"/>
      <c r="Q337" s="76" t="s">
        <v>776</v>
      </c>
      <c r="R337" s="100">
        <v>43993</v>
      </c>
    </row>
    <row r="338" spans="1:18" ht="37.15" customHeight="1">
      <c r="A338" s="89" t="s">
        <v>1155</v>
      </c>
      <c r="B338" s="82" t="s">
        <v>53</v>
      </c>
      <c r="C338" s="83"/>
      <c r="D338" s="84" t="s">
        <v>39</v>
      </c>
      <c r="E338" s="85">
        <v>43987</v>
      </c>
      <c r="F338" s="85">
        <v>44017</v>
      </c>
      <c r="G338" s="82" t="s">
        <v>71</v>
      </c>
      <c r="H338" s="82" t="s">
        <v>1156</v>
      </c>
      <c r="I338" s="82"/>
      <c r="J338" s="82" t="s">
        <v>56</v>
      </c>
      <c r="K338" s="82" t="s">
        <v>1021</v>
      </c>
      <c r="L338" s="86" t="s">
        <v>1157</v>
      </c>
      <c r="M338" s="79"/>
      <c r="N338" s="84">
        <v>3</v>
      </c>
      <c r="O338" s="95"/>
      <c r="P338" s="80"/>
      <c r="Q338" s="84" t="s">
        <v>776</v>
      </c>
      <c r="R338" s="101">
        <v>43999</v>
      </c>
    </row>
    <row r="339" spans="1:18" ht="37.15" customHeight="1">
      <c r="A339" s="90" t="s">
        <v>1158</v>
      </c>
      <c r="B339" s="74" t="s">
        <v>53</v>
      </c>
      <c r="C339" s="75"/>
      <c r="D339" s="76" t="s">
        <v>39</v>
      </c>
      <c r="E339" s="77">
        <v>43991</v>
      </c>
      <c r="F339" s="77">
        <v>44021</v>
      </c>
      <c r="G339" s="74" t="s">
        <v>71</v>
      </c>
      <c r="H339" s="74" t="s">
        <v>1037</v>
      </c>
      <c r="I339" s="74"/>
      <c r="J339" s="74" t="s">
        <v>618</v>
      </c>
      <c r="K339" s="74" t="s">
        <v>386</v>
      </c>
      <c r="L339" s="78" t="s">
        <v>1159</v>
      </c>
      <c r="M339" s="79"/>
      <c r="N339" s="76">
        <v>3</v>
      </c>
      <c r="O339" s="95"/>
      <c r="P339" s="80"/>
      <c r="Q339" s="76" t="s">
        <v>776</v>
      </c>
      <c r="R339" s="100"/>
    </row>
    <row r="340" spans="1:18" ht="37.15" hidden="1" customHeight="1">
      <c r="A340" s="89" t="s">
        <v>1160</v>
      </c>
      <c r="B340" s="82" t="s">
        <v>47</v>
      </c>
      <c r="C340" s="83"/>
      <c r="D340" s="84" t="s">
        <v>39</v>
      </c>
      <c r="E340" s="85">
        <v>43992</v>
      </c>
      <c r="F340" s="85">
        <v>44022</v>
      </c>
      <c r="G340" s="82" t="s">
        <v>71</v>
      </c>
      <c r="H340" s="82" t="s">
        <v>1161</v>
      </c>
      <c r="I340" s="82"/>
      <c r="J340" s="82" t="s">
        <v>449</v>
      </c>
      <c r="K340" s="82" t="s">
        <v>1162</v>
      </c>
      <c r="L340" s="86" t="s">
        <v>1163</v>
      </c>
      <c r="M340" s="79"/>
      <c r="N340" s="84">
        <v>3</v>
      </c>
      <c r="O340" s="95"/>
      <c r="P340" s="80"/>
      <c r="Q340" s="84" t="s">
        <v>776</v>
      </c>
      <c r="R340" s="103"/>
    </row>
    <row r="341" spans="1:18" ht="37.15" customHeight="1">
      <c r="A341" s="90" t="s">
        <v>1164</v>
      </c>
      <c r="B341" s="74" t="s">
        <v>53</v>
      </c>
      <c r="C341" s="75"/>
      <c r="D341" s="76" t="s">
        <v>39</v>
      </c>
      <c r="E341" s="77">
        <v>43992</v>
      </c>
      <c r="F341" s="77">
        <v>44022</v>
      </c>
      <c r="G341" s="74" t="s">
        <v>71</v>
      </c>
      <c r="H341" s="74" t="s">
        <v>599</v>
      </c>
      <c r="I341" s="74"/>
      <c r="J341" s="74" t="s">
        <v>994</v>
      </c>
      <c r="K341" s="74" t="s">
        <v>1165</v>
      </c>
      <c r="L341" s="78" t="s">
        <v>876</v>
      </c>
      <c r="M341" s="79"/>
      <c r="N341" s="76">
        <v>6</v>
      </c>
      <c r="O341" s="95"/>
      <c r="P341" s="80"/>
      <c r="Q341" s="76" t="s">
        <v>776</v>
      </c>
      <c r="R341" s="100"/>
    </row>
    <row r="342" spans="1:18" ht="37.15" customHeight="1">
      <c r="A342" s="89" t="s">
        <v>1166</v>
      </c>
      <c r="B342" s="82" t="s">
        <v>53</v>
      </c>
      <c r="C342" s="83"/>
      <c r="D342" s="84" t="s">
        <v>39</v>
      </c>
      <c r="E342" s="85">
        <v>44000</v>
      </c>
      <c r="F342" s="85">
        <v>44030</v>
      </c>
      <c r="G342" s="82" t="s">
        <v>71</v>
      </c>
      <c r="H342" s="82" t="s">
        <v>134</v>
      </c>
      <c r="I342" s="82"/>
      <c r="J342" s="82" t="s">
        <v>702</v>
      </c>
      <c r="K342" s="82" t="s">
        <v>1167</v>
      </c>
      <c r="L342" s="86" t="s">
        <v>1168</v>
      </c>
      <c r="M342" s="79"/>
      <c r="N342" s="84">
        <v>4</v>
      </c>
      <c r="O342" s="95"/>
      <c r="P342" s="80"/>
      <c r="Q342" s="84" t="s">
        <v>776</v>
      </c>
      <c r="R342" s="101"/>
    </row>
    <row r="343" spans="1:18" ht="37.15" customHeight="1">
      <c r="A343" s="90" t="s">
        <v>1169</v>
      </c>
      <c r="B343" s="74" t="s">
        <v>53</v>
      </c>
      <c r="C343" s="75"/>
      <c r="D343" s="76" t="s">
        <v>39</v>
      </c>
      <c r="E343" s="77">
        <v>43994</v>
      </c>
      <c r="F343" s="77">
        <v>44024</v>
      </c>
      <c r="G343" s="74" t="s">
        <v>71</v>
      </c>
      <c r="H343" s="74" t="s">
        <v>832</v>
      </c>
      <c r="I343" s="74"/>
      <c r="J343" s="74" t="s">
        <v>56</v>
      </c>
      <c r="K343" s="74" t="s">
        <v>1170</v>
      </c>
      <c r="L343" s="78" t="s">
        <v>1171</v>
      </c>
      <c r="M343" s="79"/>
      <c r="N343" s="76">
        <v>3</v>
      </c>
      <c r="O343" s="95"/>
      <c r="P343" s="80"/>
      <c r="Q343" s="76" t="s">
        <v>776</v>
      </c>
      <c r="R343" s="100"/>
    </row>
    <row r="344" spans="1:18" ht="37.15" customHeight="1">
      <c r="A344" s="89" t="s">
        <v>1172</v>
      </c>
      <c r="B344" s="82" t="s">
        <v>53</v>
      </c>
      <c r="C344" s="83"/>
      <c r="D344" s="84" t="s">
        <v>39</v>
      </c>
      <c r="E344" s="85">
        <v>43994</v>
      </c>
      <c r="F344" s="85">
        <v>44024</v>
      </c>
      <c r="G344" s="82" t="s">
        <v>71</v>
      </c>
      <c r="H344" s="82" t="s">
        <v>1173</v>
      </c>
      <c r="I344" s="82"/>
      <c r="J344" s="82" t="s">
        <v>56</v>
      </c>
      <c r="K344" s="82" t="s">
        <v>1174</v>
      </c>
      <c r="L344" s="86" t="s">
        <v>1175</v>
      </c>
      <c r="M344" s="79"/>
      <c r="N344" s="84">
        <v>3</v>
      </c>
      <c r="O344" s="95"/>
      <c r="P344" s="80"/>
      <c r="Q344" s="84" t="s">
        <v>776</v>
      </c>
      <c r="R344" s="103"/>
    </row>
    <row r="345" spans="1:18" ht="37.15" customHeight="1">
      <c r="A345" s="90" t="s">
        <v>1176</v>
      </c>
      <c r="B345" s="74" t="s">
        <v>53</v>
      </c>
      <c r="C345" s="75"/>
      <c r="D345" s="76" t="s">
        <v>117</v>
      </c>
      <c r="E345" s="77">
        <v>43998</v>
      </c>
      <c r="F345" s="77">
        <v>44028</v>
      </c>
      <c r="G345" s="74" t="s">
        <v>71</v>
      </c>
      <c r="H345" s="74" t="s">
        <v>210</v>
      </c>
      <c r="I345" s="74"/>
      <c r="J345" s="74" t="s">
        <v>1177</v>
      </c>
      <c r="K345" s="74" t="s">
        <v>886</v>
      </c>
      <c r="L345" s="78" t="s">
        <v>1178</v>
      </c>
      <c r="M345" s="79"/>
      <c r="N345" s="76">
        <v>3</v>
      </c>
      <c r="O345" s="95"/>
      <c r="P345" s="80"/>
      <c r="Q345" s="76" t="s">
        <v>776</v>
      </c>
      <c r="R345" s="100">
        <v>44005</v>
      </c>
    </row>
    <row r="346" spans="1:18" ht="37.15" hidden="1" customHeight="1">
      <c r="A346" s="89" t="s">
        <v>1179</v>
      </c>
      <c r="B346" s="82" t="s">
        <v>47</v>
      </c>
      <c r="C346" s="83"/>
      <c r="D346" s="84" t="s">
        <v>39</v>
      </c>
      <c r="E346" s="85">
        <v>44012</v>
      </c>
      <c r="F346" s="85" t="s">
        <v>1180</v>
      </c>
      <c r="G346" s="82" t="s">
        <v>71</v>
      </c>
      <c r="H346" s="91" t="s">
        <v>1181</v>
      </c>
      <c r="I346" s="91"/>
      <c r="J346" s="82" t="s">
        <v>1182</v>
      </c>
      <c r="K346" s="82">
        <v>507935</v>
      </c>
      <c r="L346" s="86" t="s">
        <v>1183</v>
      </c>
      <c r="M346" s="79"/>
      <c r="N346" s="84">
        <v>3</v>
      </c>
      <c r="O346" s="95"/>
      <c r="P346" s="80"/>
      <c r="Q346" s="84" t="s">
        <v>776</v>
      </c>
      <c r="R346" s="101"/>
    </row>
    <row r="347" spans="1:18" ht="37.15" customHeight="1">
      <c r="A347" s="90" t="s">
        <v>1184</v>
      </c>
      <c r="B347" s="74" t="s">
        <v>53</v>
      </c>
      <c r="C347" s="75"/>
      <c r="D347" s="76" t="s">
        <v>39</v>
      </c>
      <c r="E347" s="77">
        <v>44027</v>
      </c>
      <c r="F347" s="77">
        <v>44058</v>
      </c>
      <c r="G347" s="74" t="s">
        <v>71</v>
      </c>
      <c r="H347" s="92" t="s">
        <v>1185</v>
      </c>
      <c r="I347" s="92"/>
      <c r="J347" s="74" t="s">
        <v>56</v>
      </c>
      <c r="K347" s="74" t="s">
        <v>42</v>
      </c>
      <c r="L347" s="78" t="s">
        <v>1186</v>
      </c>
      <c r="M347" s="79"/>
      <c r="N347" s="76">
        <v>2</v>
      </c>
      <c r="O347" s="95"/>
      <c r="P347" s="80"/>
      <c r="Q347" s="76" t="s">
        <v>776</v>
      </c>
      <c r="R347" s="100"/>
    </row>
    <row r="348" spans="1:18" ht="37.15" customHeight="1">
      <c r="A348" s="89" t="s">
        <v>1187</v>
      </c>
      <c r="B348" s="82" t="s">
        <v>53</v>
      </c>
      <c r="C348" s="83"/>
      <c r="D348" s="84" t="s">
        <v>39</v>
      </c>
      <c r="E348" s="85">
        <v>44054</v>
      </c>
      <c r="F348" s="85">
        <v>44085</v>
      </c>
      <c r="G348" s="82" t="s">
        <v>71</v>
      </c>
      <c r="H348" s="82" t="s">
        <v>1188</v>
      </c>
      <c r="I348" s="82"/>
      <c r="J348" s="82" t="s">
        <v>316</v>
      </c>
      <c r="K348" s="82">
        <v>508007</v>
      </c>
      <c r="L348" s="86" t="s">
        <v>1189</v>
      </c>
      <c r="M348" s="79"/>
      <c r="N348" s="84">
        <v>2</v>
      </c>
      <c r="O348" s="95"/>
      <c r="P348" s="80"/>
      <c r="Q348" s="84" t="s">
        <v>776</v>
      </c>
      <c r="R348" s="103"/>
    </row>
    <row r="349" spans="1:18" ht="37.15" customHeight="1">
      <c r="A349" s="90" t="s">
        <v>1190</v>
      </c>
      <c r="B349" s="74" t="s">
        <v>53</v>
      </c>
      <c r="C349" s="75"/>
      <c r="D349" s="76" t="s">
        <v>117</v>
      </c>
      <c r="E349" s="77">
        <v>44054</v>
      </c>
      <c r="F349" s="77">
        <v>44085</v>
      </c>
      <c r="G349" s="74" t="s">
        <v>71</v>
      </c>
      <c r="H349" s="112" t="s">
        <v>1191</v>
      </c>
      <c r="I349" s="112"/>
      <c r="J349" s="74" t="s">
        <v>56</v>
      </c>
      <c r="K349" s="74" t="s">
        <v>1192</v>
      </c>
      <c r="L349" s="78" t="s">
        <v>1193</v>
      </c>
      <c r="M349" s="79"/>
      <c r="N349" s="76">
        <v>3</v>
      </c>
      <c r="O349" s="95"/>
      <c r="P349" s="80"/>
      <c r="Q349" s="76" t="s">
        <v>776</v>
      </c>
      <c r="R349" s="100"/>
    </row>
    <row r="350" spans="1:18" ht="37.15" customHeight="1">
      <c r="A350" s="89" t="s">
        <v>1194</v>
      </c>
      <c r="B350" s="82" t="s">
        <v>53</v>
      </c>
      <c r="C350" s="83"/>
      <c r="D350" s="84" t="s">
        <v>39</v>
      </c>
      <c r="E350" s="85">
        <v>44068</v>
      </c>
      <c r="F350" s="85">
        <v>44099</v>
      </c>
      <c r="G350" s="82" t="s">
        <v>71</v>
      </c>
      <c r="H350" s="82" t="s">
        <v>1195</v>
      </c>
      <c r="I350" s="82"/>
      <c r="J350" s="82" t="s">
        <v>56</v>
      </c>
      <c r="K350" s="82">
        <v>952610</v>
      </c>
      <c r="L350" s="86" t="s">
        <v>1196</v>
      </c>
      <c r="M350" s="79"/>
      <c r="N350" s="84">
        <v>2</v>
      </c>
      <c r="O350" s="95"/>
      <c r="P350" s="80"/>
      <c r="Q350" s="84" t="s">
        <v>776</v>
      </c>
      <c r="R350" s="101"/>
    </row>
    <row r="351" spans="1:18" ht="37.15" customHeight="1">
      <c r="A351" s="90" t="s">
        <v>1197</v>
      </c>
      <c r="B351" s="74" t="s">
        <v>53</v>
      </c>
      <c r="C351" s="75"/>
      <c r="D351" s="76" t="s">
        <v>39</v>
      </c>
      <c r="E351" s="77">
        <v>44070</v>
      </c>
      <c r="F351" s="77">
        <v>44101</v>
      </c>
      <c r="G351" s="74" t="s">
        <v>71</v>
      </c>
      <c r="H351" s="74" t="s">
        <v>1198</v>
      </c>
      <c r="I351" s="74"/>
      <c r="J351" s="74" t="s">
        <v>56</v>
      </c>
      <c r="K351" s="74" t="s">
        <v>345</v>
      </c>
      <c r="L351" s="78" t="s">
        <v>1199</v>
      </c>
      <c r="M351" s="79"/>
      <c r="N351" s="76">
        <v>2</v>
      </c>
      <c r="O351" s="95"/>
      <c r="P351" s="80"/>
      <c r="Q351" s="76" t="s">
        <v>776</v>
      </c>
      <c r="R351" s="100"/>
    </row>
    <row r="352" spans="1:18" ht="37.15" customHeight="1">
      <c r="A352" s="89" t="s">
        <v>1200</v>
      </c>
      <c r="B352" s="82" t="s">
        <v>53</v>
      </c>
      <c r="C352" s="83"/>
      <c r="D352" s="84" t="s">
        <v>39</v>
      </c>
      <c r="E352" s="85">
        <v>44076</v>
      </c>
      <c r="F352" s="85">
        <v>44106</v>
      </c>
      <c r="G352" s="82" t="s">
        <v>71</v>
      </c>
      <c r="H352" s="91" t="s">
        <v>1201</v>
      </c>
      <c r="I352" s="91"/>
      <c r="J352" s="82" t="s">
        <v>56</v>
      </c>
      <c r="K352" s="82">
        <v>934412</v>
      </c>
      <c r="L352" s="86" t="s">
        <v>1202</v>
      </c>
      <c r="M352" s="79"/>
      <c r="N352" s="84">
        <v>2</v>
      </c>
      <c r="O352" s="95"/>
      <c r="P352" s="80"/>
      <c r="Q352" s="84" t="s">
        <v>776</v>
      </c>
      <c r="R352" s="103"/>
    </row>
    <row r="353" spans="1:18" ht="37.15" hidden="1" customHeight="1">
      <c r="A353" s="90" t="s">
        <v>1203</v>
      </c>
      <c r="B353" s="74" t="s">
        <v>47</v>
      </c>
      <c r="C353" s="75"/>
      <c r="D353" s="76" t="s">
        <v>39</v>
      </c>
      <c r="E353" s="77">
        <v>44077</v>
      </c>
      <c r="F353" s="77">
        <v>44107</v>
      </c>
      <c r="G353" s="74" t="s">
        <v>71</v>
      </c>
      <c r="H353" s="74" t="s">
        <v>1204</v>
      </c>
      <c r="I353" s="74"/>
      <c r="J353" s="74" t="s">
        <v>56</v>
      </c>
      <c r="K353" s="74">
        <v>508185</v>
      </c>
      <c r="L353" s="78" t="s">
        <v>1205</v>
      </c>
      <c r="M353" s="79"/>
      <c r="N353" s="76">
        <v>3</v>
      </c>
      <c r="O353" s="95"/>
      <c r="P353" s="80"/>
      <c r="Q353" s="76" t="s">
        <v>776</v>
      </c>
      <c r="R353" s="100"/>
    </row>
    <row r="354" spans="1:18" ht="37.15" customHeight="1">
      <c r="A354" s="89" t="s">
        <v>1206</v>
      </c>
      <c r="B354" s="82" t="s">
        <v>53</v>
      </c>
      <c r="C354" s="83"/>
      <c r="D354" s="84" t="s">
        <v>39</v>
      </c>
      <c r="E354" s="85">
        <v>44078</v>
      </c>
      <c r="F354" s="85">
        <v>44108</v>
      </c>
      <c r="G354" s="82" t="s">
        <v>71</v>
      </c>
      <c r="H354" s="82" t="s">
        <v>1188</v>
      </c>
      <c r="I354" s="82"/>
      <c r="J354" s="82" t="s">
        <v>994</v>
      </c>
      <c r="K354" s="82" t="s">
        <v>42</v>
      </c>
      <c r="L354" s="86" t="s">
        <v>1207</v>
      </c>
      <c r="M354" s="79"/>
      <c r="N354" s="84">
        <v>4</v>
      </c>
      <c r="O354" s="95"/>
      <c r="P354" s="80"/>
      <c r="Q354" s="84" t="s">
        <v>776</v>
      </c>
      <c r="R354" s="103"/>
    </row>
    <row r="355" spans="1:18" ht="37.15" customHeight="1">
      <c r="A355" s="90" t="s">
        <v>1208</v>
      </c>
      <c r="B355" s="74" t="s">
        <v>53</v>
      </c>
      <c r="C355" s="75"/>
      <c r="D355" s="76" t="s">
        <v>39</v>
      </c>
      <c r="E355" s="77">
        <v>44078</v>
      </c>
      <c r="F355" s="77">
        <v>44108</v>
      </c>
      <c r="G355" s="74" t="s">
        <v>71</v>
      </c>
      <c r="H355" s="92" t="s">
        <v>1209</v>
      </c>
      <c r="I355" s="92"/>
      <c r="J355" s="74" t="s">
        <v>56</v>
      </c>
      <c r="K355" s="74">
        <v>2492</v>
      </c>
      <c r="L355" s="78" t="s">
        <v>1210</v>
      </c>
      <c r="M355" s="79"/>
      <c r="N355" s="76">
        <v>3</v>
      </c>
      <c r="O355" s="95"/>
      <c r="P355" s="80"/>
      <c r="Q355" s="76" t="s">
        <v>45</v>
      </c>
      <c r="R355" s="100"/>
    </row>
    <row r="356" spans="1:18" ht="37.15" hidden="1" customHeight="1">
      <c r="A356" s="89" t="s">
        <v>1211</v>
      </c>
      <c r="B356" s="82" t="s">
        <v>47</v>
      </c>
      <c r="C356" s="83"/>
      <c r="D356" s="84" t="s">
        <v>39</v>
      </c>
      <c r="E356" s="85">
        <v>44083</v>
      </c>
      <c r="F356" s="113">
        <v>44113</v>
      </c>
      <c r="G356" s="82" t="s">
        <v>71</v>
      </c>
      <c r="H356" s="82" t="s">
        <v>1212</v>
      </c>
      <c r="I356" s="82"/>
      <c r="J356" s="82" t="s">
        <v>1213</v>
      </c>
      <c r="K356" s="82">
        <v>508211</v>
      </c>
      <c r="L356" s="86" t="s">
        <v>1214</v>
      </c>
      <c r="M356" s="79"/>
      <c r="N356" s="84">
        <v>3</v>
      </c>
      <c r="O356" s="95"/>
      <c r="P356" s="80"/>
      <c r="Q356" s="84" t="s">
        <v>45</v>
      </c>
      <c r="R356" s="101"/>
    </row>
    <row r="357" spans="1:18" ht="37.15" customHeight="1">
      <c r="A357" s="90" t="s">
        <v>1215</v>
      </c>
      <c r="B357" s="74" t="s">
        <v>53</v>
      </c>
      <c r="C357" s="75"/>
      <c r="D357" s="76" t="s">
        <v>39</v>
      </c>
      <c r="E357" s="77">
        <v>44090</v>
      </c>
      <c r="F357" s="77">
        <v>44120</v>
      </c>
      <c r="G357" s="74" t="s">
        <v>71</v>
      </c>
      <c r="H357" s="92" t="s">
        <v>1216</v>
      </c>
      <c r="I357" s="92"/>
      <c r="J357" s="74" t="s">
        <v>56</v>
      </c>
      <c r="K357" s="74" t="s">
        <v>42</v>
      </c>
      <c r="L357" s="78" t="s">
        <v>1217</v>
      </c>
      <c r="M357" s="79"/>
      <c r="N357" s="76">
        <v>3</v>
      </c>
      <c r="O357" s="95"/>
      <c r="P357" s="80"/>
      <c r="Q357" s="76" t="s">
        <v>776</v>
      </c>
      <c r="R357" s="100"/>
    </row>
    <row r="358" spans="1:18" ht="37.15" customHeight="1">
      <c r="A358" s="89" t="s">
        <v>1218</v>
      </c>
      <c r="B358" s="82" t="s">
        <v>53</v>
      </c>
      <c r="C358" s="83"/>
      <c r="D358" s="84" t="s">
        <v>117</v>
      </c>
      <c r="E358" s="85">
        <v>44091</v>
      </c>
      <c r="F358" s="113">
        <v>44152</v>
      </c>
      <c r="G358" s="82" t="s">
        <v>71</v>
      </c>
      <c r="H358" s="82" t="s">
        <v>1219</v>
      </c>
      <c r="I358" s="82"/>
      <c r="J358" s="82" t="s">
        <v>56</v>
      </c>
      <c r="K358" s="82" t="s">
        <v>42</v>
      </c>
      <c r="L358" s="86" t="s">
        <v>1220</v>
      </c>
      <c r="M358" s="79"/>
      <c r="N358" s="84">
        <v>3</v>
      </c>
      <c r="O358" s="95"/>
      <c r="P358" s="80"/>
      <c r="Q358" s="84" t="s">
        <v>45</v>
      </c>
      <c r="R358" s="103"/>
    </row>
    <row r="359" spans="1:18" ht="37.15" customHeight="1">
      <c r="A359" s="90" t="s">
        <v>1221</v>
      </c>
      <c r="B359" s="74" t="s">
        <v>53</v>
      </c>
      <c r="C359" s="75"/>
      <c r="D359" s="76" t="s">
        <v>39</v>
      </c>
      <c r="E359" s="77">
        <v>44096</v>
      </c>
      <c r="F359" s="77">
        <v>44126</v>
      </c>
      <c r="G359" s="74" t="s">
        <v>71</v>
      </c>
      <c r="H359" s="74" t="s">
        <v>1222</v>
      </c>
      <c r="I359" s="74"/>
      <c r="J359" s="74" t="s">
        <v>56</v>
      </c>
      <c r="K359" s="74" t="s">
        <v>1223</v>
      </c>
      <c r="L359" s="78" t="s">
        <v>1224</v>
      </c>
      <c r="M359" s="79"/>
      <c r="N359" s="76">
        <v>4</v>
      </c>
      <c r="O359" s="95"/>
      <c r="P359" s="80"/>
      <c r="Q359" s="76" t="s">
        <v>45</v>
      </c>
      <c r="R359" s="104"/>
    </row>
    <row r="360" spans="1:18" ht="37.15" customHeight="1">
      <c r="A360" s="89" t="s">
        <v>1225</v>
      </c>
      <c r="B360" s="82" t="s">
        <v>53</v>
      </c>
      <c r="C360" s="83"/>
      <c r="D360" s="84" t="s">
        <v>39</v>
      </c>
      <c r="E360" s="85">
        <v>44096</v>
      </c>
      <c r="F360" s="85" t="s">
        <v>42</v>
      </c>
      <c r="G360" s="82" t="s">
        <v>71</v>
      </c>
      <c r="H360" s="82" t="s">
        <v>1222</v>
      </c>
      <c r="I360" s="82"/>
      <c r="J360" s="82" t="s">
        <v>56</v>
      </c>
      <c r="K360" s="82" t="s">
        <v>42</v>
      </c>
      <c r="L360" s="86" t="s">
        <v>1226</v>
      </c>
      <c r="M360" s="79"/>
      <c r="N360" s="84">
        <v>3</v>
      </c>
      <c r="O360" s="95"/>
      <c r="P360" s="80"/>
      <c r="Q360" s="84"/>
      <c r="R360" s="101"/>
    </row>
    <row r="361" spans="1:18" ht="37.15" customHeight="1">
      <c r="A361" s="90" t="s">
        <v>1227</v>
      </c>
      <c r="B361" s="74" t="s">
        <v>53</v>
      </c>
      <c r="C361" s="75"/>
      <c r="D361" s="76" t="s">
        <v>39</v>
      </c>
      <c r="E361" s="77">
        <v>44098</v>
      </c>
      <c r="F361" s="77" t="s">
        <v>42</v>
      </c>
      <c r="G361" s="74" t="s">
        <v>71</v>
      </c>
      <c r="H361" s="74" t="s">
        <v>1228</v>
      </c>
      <c r="I361" s="74"/>
      <c r="J361" s="74" t="s">
        <v>316</v>
      </c>
      <c r="K361" s="74" t="s">
        <v>42</v>
      </c>
      <c r="L361" s="78" t="s">
        <v>1229</v>
      </c>
      <c r="M361" s="79"/>
      <c r="N361" s="76">
        <v>3</v>
      </c>
      <c r="O361" s="95"/>
      <c r="P361" s="80"/>
      <c r="Q361" s="76"/>
      <c r="R361" s="100"/>
    </row>
    <row r="362" spans="1:18" ht="37.15" customHeight="1">
      <c r="A362" s="89" t="s">
        <v>1230</v>
      </c>
      <c r="B362" s="82" t="s">
        <v>53</v>
      </c>
      <c r="C362" s="83"/>
      <c r="D362" s="84" t="s">
        <v>117</v>
      </c>
      <c r="E362" s="85">
        <v>44099</v>
      </c>
      <c r="F362" s="85">
        <v>44160</v>
      </c>
      <c r="G362" s="82" t="s">
        <v>71</v>
      </c>
      <c r="H362" s="82" t="s">
        <v>1231</v>
      </c>
      <c r="I362" s="82"/>
      <c r="J362" s="82" t="s">
        <v>618</v>
      </c>
      <c r="K362" s="82" t="s">
        <v>42</v>
      </c>
      <c r="L362" s="86" t="s">
        <v>1232</v>
      </c>
      <c r="M362" s="79"/>
      <c r="N362" s="84">
        <v>2</v>
      </c>
      <c r="O362" s="95"/>
      <c r="P362" s="80"/>
      <c r="Q362" s="84" t="s">
        <v>45</v>
      </c>
      <c r="R362" s="101"/>
    </row>
    <row r="363" spans="1:18" ht="37.15" hidden="1" customHeight="1">
      <c r="A363" s="90" t="s">
        <v>1233</v>
      </c>
      <c r="B363" s="74" t="s">
        <v>47</v>
      </c>
      <c r="C363" s="75"/>
      <c r="D363" s="76" t="s">
        <v>39</v>
      </c>
      <c r="E363" s="77">
        <v>44113</v>
      </c>
      <c r="F363" s="77">
        <v>44144</v>
      </c>
      <c r="G363" s="74" t="s">
        <v>71</v>
      </c>
      <c r="H363" s="74" t="s">
        <v>1204</v>
      </c>
      <c r="I363" s="74"/>
      <c r="J363" s="74" t="s">
        <v>56</v>
      </c>
      <c r="K363" s="74">
        <v>508382</v>
      </c>
      <c r="L363" s="78" t="s">
        <v>1234</v>
      </c>
      <c r="M363" s="79"/>
      <c r="N363" s="76">
        <v>3</v>
      </c>
      <c r="O363" s="95"/>
      <c r="P363" s="80"/>
      <c r="Q363" s="76" t="s">
        <v>45</v>
      </c>
      <c r="R363" s="104"/>
    </row>
    <row r="364" spans="1:18" ht="37.15" customHeight="1">
      <c r="A364" s="89" t="s">
        <v>1235</v>
      </c>
      <c r="B364" s="82" t="s">
        <v>53</v>
      </c>
      <c r="C364" s="83"/>
      <c r="D364" s="84" t="s">
        <v>39</v>
      </c>
      <c r="E364" s="85">
        <v>44118</v>
      </c>
      <c r="F364" s="85">
        <v>44149</v>
      </c>
      <c r="G364" s="82" t="s">
        <v>71</v>
      </c>
      <c r="H364" s="82" t="s">
        <v>1236</v>
      </c>
      <c r="I364" s="82"/>
      <c r="J364" s="82" t="s">
        <v>253</v>
      </c>
      <c r="K364" s="82">
        <v>305824</v>
      </c>
      <c r="L364" s="86" t="s">
        <v>1237</v>
      </c>
      <c r="M364" s="79"/>
      <c r="N364" s="84">
        <v>2</v>
      </c>
      <c r="O364" s="95"/>
      <c r="P364" s="80"/>
      <c r="Q364" s="84" t="s">
        <v>45</v>
      </c>
      <c r="R364" s="101"/>
    </row>
    <row r="365" spans="1:18" ht="37.15" customHeight="1">
      <c r="A365" s="90" t="s">
        <v>1238</v>
      </c>
      <c r="B365" s="74" t="s">
        <v>53</v>
      </c>
      <c r="C365" s="75"/>
      <c r="D365" s="76" t="s">
        <v>39</v>
      </c>
      <c r="E365" s="77">
        <v>44125</v>
      </c>
      <c r="F365" s="77" t="s">
        <v>42</v>
      </c>
      <c r="G365" s="74" t="s">
        <v>71</v>
      </c>
      <c r="H365" s="74" t="s">
        <v>1188</v>
      </c>
      <c r="I365" s="74"/>
      <c r="J365" s="74" t="s">
        <v>56</v>
      </c>
      <c r="K365" s="74">
        <v>508428</v>
      </c>
      <c r="L365" s="78" t="s">
        <v>1239</v>
      </c>
      <c r="M365" s="79"/>
      <c r="N365" s="76">
        <v>3</v>
      </c>
      <c r="O365" s="95"/>
      <c r="P365" s="80"/>
      <c r="Q365" s="76"/>
      <c r="R365" s="104"/>
    </row>
    <row r="366" spans="1:18" ht="37.15" hidden="1" customHeight="1">
      <c r="A366" s="89" t="s">
        <v>1240</v>
      </c>
      <c r="B366" s="82" t="s">
        <v>47</v>
      </c>
      <c r="C366" s="83"/>
      <c r="D366" s="84" t="s">
        <v>39</v>
      </c>
      <c r="E366" s="85">
        <v>44127</v>
      </c>
      <c r="F366" s="85" t="s">
        <v>42</v>
      </c>
      <c r="G366" s="82" t="s">
        <v>71</v>
      </c>
      <c r="H366" s="82" t="s">
        <v>1241</v>
      </c>
      <c r="I366" s="82"/>
      <c r="J366" s="82" t="s">
        <v>56</v>
      </c>
      <c r="K366" s="82" t="s">
        <v>42</v>
      </c>
      <c r="L366" s="86" t="s">
        <v>1242</v>
      </c>
      <c r="M366" s="79"/>
      <c r="N366" s="84">
        <v>3</v>
      </c>
      <c r="O366" s="95"/>
      <c r="P366" s="80"/>
      <c r="Q366" s="84" t="s">
        <v>42</v>
      </c>
      <c r="R366" s="101"/>
    </row>
    <row r="367" spans="1:18" ht="37.15" hidden="1" customHeight="1">
      <c r="A367" s="19" t="s">
        <v>1243</v>
      </c>
      <c r="B367" s="74" t="s">
        <v>38</v>
      </c>
      <c r="C367" s="75"/>
      <c r="D367" s="76" t="s">
        <v>117</v>
      </c>
      <c r="E367" s="77">
        <v>44134</v>
      </c>
      <c r="F367" s="77"/>
      <c r="G367" s="74" t="s">
        <v>108</v>
      </c>
      <c r="H367" s="74" t="s">
        <v>1244</v>
      </c>
      <c r="I367" s="74"/>
      <c r="J367" s="74" t="s">
        <v>56</v>
      </c>
      <c r="K367" s="74" t="s">
        <v>1245</v>
      </c>
      <c r="L367" s="78" t="s">
        <v>1246</v>
      </c>
      <c r="M367" s="79"/>
      <c r="N367" s="76"/>
      <c r="O367" s="95"/>
      <c r="P367" s="80"/>
      <c r="Q367" s="76" t="s">
        <v>45</v>
      </c>
      <c r="R367" s="100"/>
    </row>
    <row r="368" spans="1:18" ht="37.15" customHeight="1">
      <c r="A368" s="89" t="s">
        <v>1247</v>
      </c>
      <c r="B368" s="82" t="s">
        <v>53</v>
      </c>
      <c r="C368" s="83"/>
      <c r="D368" s="84" t="s">
        <v>39</v>
      </c>
      <c r="E368" s="85">
        <v>44139</v>
      </c>
      <c r="F368" s="85">
        <v>44169</v>
      </c>
      <c r="G368" s="82" t="s">
        <v>71</v>
      </c>
      <c r="H368" s="91" t="s">
        <v>1248</v>
      </c>
      <c r="I368" s="91"/>
      <c r="J368" s="82" t="s">
        <v>56</v>
      </c>
      <c r="K368" s="82">
        <v>508475</v>
      </c>
      <c r="L368" s="86" t="s">
        <v>1249</v>
      </c>
      <c r="M368" s="79"/>
      <c r="N368" s="84">
        <v>2</v>
      </c>
      <c r="O368" s="95"/>
      <c r="P368" s="80"/>
      <c r="Q368" s="84" t="s">
        <v>45</v>
      </c>
      <c r="R368" s="101"/>
    </row>
    <row r="369" spans="1:18" ht="37.15" customHeight="1">
      <c r="A369" s="90" t="s">
        <v>1250</v>
      </c>
      <c r="B369" s="74" t="s">
        <v>53</v>
      </c>
      <c r="C369" s="75"/>
      <c r="D369" s="76" t="s">
        <v>39</v>
      </c>
      <c r="E369" s="77">
        <v>44144</v>
      </c>
      <c r="F369" s="77">
        <v>44174</v>
      </c>
      <c r="G369" s="74" t="s">
        <v>108</v>
      </c>
      <c r="H369" s="74" t="s">
        <v>1251</v>
      </c>
      <c r="I369" s="74"/>
      <c r="J369" s="74" t="s">
        <v>56</v>
      </c>
      <c r="K369" s="74" t="s">
        <v>1252</v>
      </c>
      <c r="L369" s="78" t="s">
        <v>1253</v>
      </c>
      <c r="M369" s="79"/>
      <c r="N369" s="76">
        <v>3</v>
      </c>
      <c r="O369" s="95"/>
      <c r="P369" s="80"/>
      <c r="Q369" s="76" t="s">
        <v>45</v>
      </c>
      <c r="R369" s="104"/>
    </row>
    <row r="370" spans="1:18" ht="37.15" customHeight="1">
      <c r="A370" s="89" t="s">
        <v>1254</v>
      </c>
      <c r="B370" s="82" t="s">
        <v>53</v>
      </c>
      <c r="C370" s="83"/>
      <c r="D370" s="84" t="s">
        <v>39</v>
      </c>
      <c r="E370" s="85">
        <v>44146</v>
      </c>
      <c r="F370" s="85" t="s">
        <v>42</v>
      </c>
      <c r="G370" s="82" t="s">
        <v>71</v>
      </c>
      <c r="H370" s="82" t="s">
        <v>134</v>
      </c>
      <c r="I370" s="82"/>
      <c r="J370" s="82" t="s">
        <v>56</v>
      </c>
      <c r="K370" s="82" t="s">
        <v>42</v>
      </c>
      <c r="L370" s="86" t="s">
        <v>1255</v>
      </c>
      <c r="M370" s="79"/>
      <c r="N370" s="84">
        <v>2</v>
      </c>
      <c r="O370" s="95"/>
      <c r="P370" s="80"/>
      <c r="Q370" s="84"/>
      <c r="R370" s="101"/>
    </row>
    <row r="371" spans="1:18" ht="37.15" hidden="1" customHeight="1">
      <c r="A371" s="90" t="s">
        <v>1256</v>
      </c>
      <c r="B371" s="74" t="s">
        <v>47</v>
      </c>
      <c r="C371" s="75"/>
      <c r="D371" s="76" t="s">
        <v>117</v>
      </c>
      <c r="E371" s="77">
        <v>44151</v>
      </c>
      <c r="F371" s="77">
        <v>44181</v>
      </c>
      <c r="G371" s="74" t="s">
        <v>108</v>
      </c>
      <c r="H371" s="74" t="s">
        <v>1257</v>
      </c>
      <c r="I371" s="74"/>
      <c r="J371" s="74" t="s">
        <v>56</v>
      </c>
      <c r="K371" s="74" t="s">
        <v>1258</v>
      </c>
      <c r="L371" s="78" t="s">
        <v>1259</v>
      </c>
      <c r="M371" s="79"/>
      <c r="N371" s="76"/>
      <c r="O371" s="95"/>
      <c r="P371" s="80"/>
      <c r="Q371" s="76" t="s">
        <v>776</v>
      </c>
      <c r="R371" s="100"/>
    </row>
    <row r="372" spans="1:18" ht="37.15" hidden="1" customHeight="1">
      <c r="A372" s="89" t="s">
        <v>1260</v>
      </c>
      <c r="B372" s="82" t="s">
        <v>47</v>
      </c>
      <c r="C372" s="83"/>
      <c r="D372" s="84" t="s">
        <v>117</v>
      </c>
      <c r="E372" s="85">
        <v>44152</v>
      </c>
      <c r="F372" s="85">
        <v>44182</v>
      </c>
      <c r="G372" s="82" t="s">
        <v>71</v>
      </c>
      <c r="H372" s="82" t="s">
        <v>1261</v>
      </c>
      <c r="I372" s="82"/>
      <c r="J372" s="82" t="s">
        <v>56</v>
      </c>
      <c r="K372" s="82" t="s">
        <v>42</v>
      </c>
      <c r="L372" s="86" t="s">
        <v>1262</v>
      </c>
      <c r="M372" s="79"/>
      <c r="N372" s="84">
        <v>3</v>
      </c>
      <c r="O372" s="95"/>
      <c r="P372" s="80"/>
      <c r="Q372" s="84" t="s">
        <v>776</v>
      </c>
      <c r="R372" s="101"/>
    </row>
    <row r="373" spans="1:18" ht="37.15" customHeight="1">
      <c r="A373" s="90" t="s">
        <v>1263</v>
      </c>
      <c r="B373" s="74" t="s">
        <v>53</v>
      </c>
      <c r="C373" s="75"/>
      <c r="D373" s="76" t="s">
        <v>39</v>
      </c>
      <c r="E373" s="77">
        <v>44155</v>
      </c>
      <c r="F373" s="77">
        <v>44185</v>
      </c>
      <c r="G373" s="74" t="s">
        <v>108</v>
      </c>
      <c r="H373" s="74" t="s">
        <v>1264</v>
      </c>
      <c r="I373" s="74"/>
      <c r="J373" s="74" t="s">
        <v>56</v>
      </c>
      <c r="K373" s="74" t="s">
        <v>42</v>
      </c>
      <c r="L373" s="78" t="s">
        <v>1265</v>
      </c>
      <c r="M373" s="79"/>
      <c r="N373" s="76">
        <v>3</v>
      </c>
      <c r="O373" s="95"/>
      <c r="P373" s="80"/>
      <c r="Q373" s="76" t="s">
        <v>776</v>
      </c>
      <c r="R373" s="104"/>
    </row>
    <row r="374" spans="1:18" ht="37.15" customHeight="1">
      <c r="A374" s="89" t="s">
        <v>1266</v>
      </c>
      <c r="B374" s="82" t="s">
        <v>53</v>
      </c>
      <c r="C374" s="83"/>
      <c r="D374" s="84" t="s">
        <v>39</v>
      </c>
      <c r="E374" s="85">
        <v>44155</v>
      </c>
      <c r="F374" s="85">
        <v>44185</v>
      </c>
      <c r="G374" s="82" t="s">
        <v>71</v>
      </c>
      <c r="H374" s="82" t="s">
        <v>1188</v>
      </c>
      <c r="I374" s="82"/>
      <c r="J374" s="82" t="s">
        <v>56</v>
      </c>
      <c r="K374" s="82">
        <v>508534</v>
      </c>
      <c r="L374" s="86" t="s">
        <v>1267</v>
      </c>
      <c r="M374" s="79"/>
      <c r="N374" s="84">
        <v>3</v>
      </c>
      <c r="O374" s="95"/>
      <c r="P374" s="80"/>
      <c r="Q374" s="84" t="s">
        <v>776</v>
      </c>
      <c r="R374" s="101"/>
    </row>
    <row r="375" spans="1:18" ht="37.15" customHeight="1">
      <c r="A375" s="90" t="s">
        <v>1268</v>
      </c>
      <c r="B375" s="74" t="s">
        <v>53</v>
      </c>
      <c r="C375" s="75"/>
      <c r="D375" s="76" t="s">
        <v>39</v>
      </c>
      <c r="E375" s="77">
        <v>44158</v>
      </c>
      <c r="F375" s="77">
        <v>44188</v>
      </c>
      <c r="G375" s="74" t="s">
        <v>71</v>
      </c>
      <c r="H375" s="74" t="s">
        <v>1188</v>
      </c>
      <c r="I375" s="74"/>
      <c r="J375" s="74" t="s">
        <v>56</v>
      </c>
      <c r="K375" s="74">
        <v>508540</v>
      </c>
      <c r="L375" s="78" t="s">
        <v>1269</v>
      </c>
      <c r="M375" s="79"/>
      <c r="N375" s="76">
        <v>3</v>
      </c>
      <c r="O375" s="95"/>
      <c r="P375" s="80"/>
      <c r="Q375" s="76" t="s">
        <v>776</v>
      </c>
      <c r="R375" s="104"/>
    </row>
    <row r="376" spans="1:18" ht="37.15" customHeight="1">
      <c r="A376" s="89" t="s">
        <v>1270</v>
      </c>
      <c r="B376" s="82" t="s">
        <v>53</v>
      </c>
      <c r="C376" s="83"/>
      <c r="D376" s="84" t="s">
        <v>117</v>
      </c>
      <c r="E376" s="85">
        <v>44159</v>
      </c>
      <c r="F376" s="85">
        <v>44203</v>
      </c>
      <c r="G376" s="114" t="s">
        <v>71</v>
      </c>
      <c r="H376" s="82" t="s">
        <v>1188</v>
      </c>
      <c r="I376" s="82"/>
      <c r="J376" s="82" t="s">
        <v>98</v>
      </c>
      <c r="K376" s="82" t="s">
        <v>1271</v>
      </c>
      <c r="L376" s="86" t="s">
        <v>1272</v>
      </c>
      <c r="M376" s="79"/>
      <c r="N376" s="84">
        <v>3</v>
      </c>
      <c r="O376" s="95"/>
      <c r="P376" s="80"/>
      <c r="Q376" s="84" t="s">
        <v>776</v>
      </c>
      <c r="R376" s="101"/>
    </row>
    <row r="377" spans="1:18" ht="37.15" customHeight="1">
      <c r="A377" s="90" t="s">
        <v>1273</v>
      </c>
      <c r="B377" s="74" t="s">
        <v>53</v>
      </c>
      <c r="C377" s="75"/>
      <c r="D377" s="76" t="s">
        <v>39</v>
      </c>
      <c r="E377" s="77">
        <v>44160</v>
      </c>
      <c r="F377" s="77">
        <v>44203</v>
      </c>
      <c r="G377" s="74" t="s">
        <v>108</v>
      </c>
      <c r="H377" s="74" t="s">
        <v>1251</v>
      </c>
      <c r="I377" s="74"/>
      <c r="J377" s="74" t="s">
        <v>56</v>
      </c>
      <c r="K377" s="74">
        <v>112939</v>
      </c>
      <c r="L377" s="78" t="s">
        <v>1274</v>
      </c>
      <c r="M377" s="79"/>
      <c r="N377" s="76">
        <v>2</v>
      </c>
      <c r="O377" s="95"/>
      <c r="P377" s="80"/>
      <c r="Q377" s="76" t="s">
        <v>776</v>
      </c>
      <c r="R377" s="100"/>
    </row>
    <row r="378" spans="1:18" ht="37.15" customHeight="1">
      <c r="A378" s="89" t="s">
        <v>1275</v>
      </c>
      <c r="B378" s="82" t="s">
        <v>53</v>
      </c>
      <c r="C378" s="83"/>
      <c r="D378" s="84" t="s">
        <v>117</v>
      </c>
      <c r="E378" s="85">
        <v>44165</v>
      </c>
      <c r="F378" s="85">
        <v>44203</v>
      </c>
      <c r="G378" s="82" t="s">
        <v>108</v>
      </c>
      <c r="H378" s="82" t="s">
        <v>1276</v>
      </c>
      <c r="I378" s="82"/>
      <c r="J378" s="82" t="s">
        <v>56</v>
      </c>
      <c r="K378" s="82" t="s">
        <v>42</v>
      </c>
      <c r="L378" s="86" t="s">
        <v>1277</v>
      </c>
      <c r="M378" s="79"/>
      <c r="N378" s="84">
        <v>2</v>
      </c>
      <c r="O378" s="95"/>
      <c r="P378" s="80"/>
      <c r="Q378" s="84" t="s">
        <v>776</v>
      </c>
      <c r="R378" s="101"/>
    </row>
    <row r="379" spans="1:18" ht="37.15" hidden="1" customHeight="1">
      <c r="A379" s="90" t="s">
        <v>1278</v>
      </c>
      <c r="B379" s="74" t="s">
        <v>47</v>
      </c>
      <c r="C379" s="75"/>
      <c r="D379" s="76" t="s">
        <v>39</v>
      </c>
      <c r="E379" s="77">
        <v>44166</v>
      </c>
      <c r="F379" s="77">
        <v>44197</v>
      </c>
      <c r="G379" s="74" t="s">
        <v>71</v>
      </c>
      <c r="H379" s="92" t="s">
        <v>1181</v>
      </c>
      <c r="I379" s="92"/>
      <c r="J379" s="74" t="s">
        <v>56</v>
      </c>
      <c r="K379" s="74" t="s">
        <v>1279</v>
      </c>
      <c r="L379" s="78" t="s">
        <v>1280</v>
      </c>
      <c r="M379" s="79"/>
      <c r="N379" s="76">
        <v>2</v>
      </c>
      <c r="O379" s="95"/>
      <c r="P379" s="80"/>
      <c r="Q379" s="76" t="s">
        <v>776</v>
      </c>
      <c r="R379" s="104"/>
    </row>
    <row r="380" spans="1:18" ht="37.15" hidden="1" customHeight="1">
      <c r="A380" s="89" t="s">
        <v>1281</v>
      </c>
      <c r="B380" s="82" t="s">
        <v>47</v>
      </c>
      <c r="C380" s="83"/>
      <c r="D380" s="84" t="s">
        <v>117</v>
      </c>
      <c r="E380" s="85">
        <v>44167</v>
      </c>
      <c r="F380" s="113">
        <v>44198</v>
      </c>
      <c r="G380" s="82" t="s">
        <v>71</v>
      </c>
      <c r="H380" s="91" t="s">
        <v>1282</v>
      </c>
      <c r="I380" s="91"/>
      <c r="J380" s="82" t="s">
        <v>56</v>
      </c>
      <c r="K380" s="82" t="s">
        <v>42</v>
      </c>
      <c r="L380" s="86" t="s">
        <v>1283</v>
      </c>
      <c r="M380" s="79"/>
      <c r="N380" s="84">
        <v>4</v>
      </c>
      <c r="O380" s="95"/>
      <c r="P380" s="80"/>
      <c r="Q380" s="84" t="s">
        <v>776</v>
      </c>
      <c r="R380" s="103"/>
    </row>
    <row r="381" spans="1:18" ht="37.15" customHeight="1">
      <c r="A381" s="90" t="s">
        <v>1284</v>
      </c>
      <c r="B381" s="74" t="s">
        <v>53</v>
      </c>
      <c r="C381" s="75"/>
      <c r="D381" s="76" t="s">
        <v>39</v>
      </c>
      <c r="E381" s="77">
        <v>44167</v>
      </c>
      <c r="F381" s="77">
        <v>44203</v>
      </c>
      <c r="G381" s="74" t="s">
        <v>108</v>
      </c>
      <c r="H381" s="74" t="s">
        <v>1285</v>
      </c>
      <c r="I381" s="74"/>
      <c r="J381" s="74" t="s">
        <v>98</v>
      </c>
      <c r="K381" s="74" t="s">
        <v>42</v>
      </c>
      <c r="L381" s="78" t="s">
        <v>1286</v>
      </c>
      <c r="M381" s="79"/>
      <c r="N381" s="76">
        <v>3</v>
      </c>
      <c r="O381" s="95"/>
      <c r="P381" s="80"/>
      <c r="Q381" s="76" t="s">
        <v>776</v>
      </c>
      <c r="R381" s="100"/>
    </row>
    <row r="382" spans="1:18" ht="37.15" hidden="1" customHeight="1">
      <c r="A382" s="89" t="s">
        <v>1287</v>
      </c>
      <c r="B382" s="82" t="s">
        <v>38</v>
      </c>
      <c r="C382" s="83"/>
      <c r="D382" s="84" t="s">
        <v>39</v>
      </c>
      <c r="E382" s="85">
        <v>44168</v>
      </c>
      <c r="F382" s="85">
        <v>44199</v>
      </c>
      <c r="G382" s="82" t="s">
        <v>1288</v>
      </c>
      <c r="H382" s="82" t="s">
        <v>695</v>
      </c>
      <c r="I382" s="82"/>
      <c r="J382" s="82" t="s">
        <v>253</v>
      </c>
      <c r="K382" s="82" t="s">
        <v>1289</v>
      </c>
      <c r="L382" s="86" t="s">
        <v>1290</v>
      </c>
      <c r="M382" s="79"/>
      <c r="N382" s="84">
        <v>3</v>
      </c>
      <c r="O382" s="95"/>
      <c r="P382" s="80"/>
      <c r="Q382" s="84" t="s">
        <v>776</v>
      </c>
      <c r="R382" s="101"/>
    </row>
    <row r="383" spans="1:18" ht="37.15" hidden="1" customHeight="1">
      <c r="A383" s="90" t="s">
        <v>1291</v>
      </c>
      <c r="B383" s="74" t="s">
        <v>47</v>
      </c>
      <c r="C383" s="75"/>
      <c r="D383" s="76" t="s">
        <v>39</v>
      </c>
      <c r="E383" s="77">
        <v>44172</v>
      </c>
      <c r="F383" s="77">
        <v>44203</v>
      </c>
      <c r="G383" s="74" t="s">
        <v>71</v>
      </c>
      <c r="H383" s="74" t="s">
        <v>650</v>
      </c>
      <c r="I383" s="74"/>
      <c r="J383" s="74" t="s">
        <v>56</v>
      </c>
      <c r="K383" s="74">
        <v>508577</v>
      </c>
      <c r="L383" s="78" t="s">
        <v>1292</v>
      </c>
      <c r="M383" s="79"/>
      <c r="N383" s="76">
        <v>3</v>
      </c>
      <c r="O383" s="95"/>
      <c r="P383" s="80"/>
      <c r="Q383" s="76" t="s">
        <v>776</v>
      </c>
      <c r="R383" s="100"/>
    </row>
    <row r="384" spans="1:18" ht="37.15" hidden="1" customHeight="1">
      <c r="A384" s="89" t="s">
        <v>1293</v>
      </c>
      <c r="B384" s="82" t="s">
        <v>38</v>
      </c>
      <c r="C384" s="83"/>
      <c r="D384" s="84" t="s">
        <v>39</v>
      </c>
      <c r="E384" s="85">
        <v>44175</v>
      </c>
      <c r="F384" s="85">
        <v>44237</v>
      </c>
      <c r="G384" s="82" t="s">
        <v>108</v>
      </c>
      <c r="H384" s="82" t="s">
        <v>1294</v>
      </c>
      <c r="I384" s="82"/>
      <c r="J384" s="82" t="s">
        <v>1295</v>
      </c>
      <c r="K384" s="82" t="s">
        <v>1289</v>
      </c>
      <c r="L384" s="86" t="s">
        <v>1296</v>
      </c>
      <c r="M384" s="79"/>
      <c r="N384" s="84">
        <v>3</v>
      </c>
      <c r="O384" s="95"/>
      <c r="P384" s="80"/>
      <c r="Q384" s="84" t="s">
        <v>776</v>
      </c>
      <c r="R384" s="103"/>
    </row>
    <row r="385" spans="1:18" ht="37.15" customHeight="1">
      <c r="A385" s="90" t="s">
        <v>1297</v>
      </c>
      <c r="B385" s="74" t="s">
        <v>53</v>
      </c>
      <c r="C385" s="75"/>
      <c r="D385" s="76" t="s">
        <v>39</v>
      </c>
      <c r="E385" s="77">
        <v>44180</v>
      </c>
      <c r="F385" s="77">
        <v>44211</v>
      </c>
      <c r="G385" s="74" t="s">
        <v>108</v>
      </c>
      <c r="H385" s="74" t="s">
        <v>1298</v>
      </c>
      <c r="I385" s="74"/>
      <c r="J385" s="74" t="s">
        <v>56</v>
      </c>
      <c r="K385" s="74" t="s">
        <v>42</v>
      </c>
      <c r="L385" s="78" t="s">
        <v>1299</v>
      </c>
      <c r="M385" s="79"/>
      <c r="N385" s="76">
        <v>3</v>
      </c>
      <c r="O385" s="95"/>
      <c r="P385" s="80"/>
      <c r="Q385" s="76" t="s">
        <v>776</v>
      </c>
      <c r="R385" s="100"/>
    </row>
    <row r="386" spans="1:18" ht="37.15" customHeight="1">
      <c r="A386" s="89" t="s">
        <v>1300</v>
      </c>
      <c r="B386" s="82" t="s">
        <v>53</v>
      </c>
      <c r="C386" s="83"/>
      <c r="D386" s="84" t="s">
        <v>39</v>
      </c>
      <c r="E386" s="85">
        <v>44180</v>
      </c>
      <c r="F386" s="85">
        <v>44211</v>
      </c>
      <c r="G386" s="82" t="s">
        <v>108</v>
      </c>
      <c r="H386" s="82" t="s">
        <v>1301</v>
      </c>
      <c r="I386" s="82"/>
      <c r="J386" s="82" t="s">
        <v>56</v>
      </c>
      <c r="K386" s="82" t="s">
        <v>1302</v>
      </c>
      <c r="L386" s="86" t="s">
        <v>1303</v>
      </c>
      <c r="M386" s="79"/>
      <c r="N386" s="84">
        <v>3</v>
      </c>
      <c r="O386" s="95"/>
      <c r="P386" s="80"/>
      <c r="Q386" s="84" t="s">
        <v>776</v>
      </c>
      <c r="R386" s="103"/>
    </row>
    <row r="387" spans="1:18" ht="37.15" customHeight="1">
      <c r="A387" s="90" t="s">
        <v>1304</v>
      </c>
      <c r="B387" s="74" t="s">
        <v>53</v>
      </c>
      <c r="C387" s="75"/>
      <c r="D387" s="76" t="s">
        <v>117</v>
      </c>
      <c r="E387" s="77">
        <v>44180</v>
      </c>
      <c r="F387" s="77">
        <v>44242</v>
      </c>
      <c r="G387" s="74" t="s">
        <v>71</v>
      </c>
      <c r="H387" s="74" t="s">
        <v>402</v>
      </c>
      <c r="I387" s="74"/>
      <c r="J387" s="74" t="s">
        <v>56</v>
      </c>
      <c r="K387" s="74" t="s">
        <v>1305</v>
      </c>
      <c r="L387" s="78" t="s">
        <v>1306</v>
      </c>
      <c r="M387" s="79"/>
      <c r="N387" s="76">
        <v>2</v>
      </c>
      <c r="O387" s="95"/>
      <c r="P387" s="80"/>
      <c r="Q387" s="76" t="s">
        <v>776</v>
      </c>
      <c r="R387" s="104"/>
    </row>
    <row r="388" spans="1:18" ht="37.15" customHeight="1">
      <c r="A388" s="89" t="s">
        <v>1307</v>
      </c>
      <c r="B388" s="82" t="s">
        <v>53</v>
      </c>
      <c r="C388" s="83"/>
      <c r="D388" s="84" t="s">
        <v>39</v>
      </c>
      <c r="E388" s="85">
        <v>44183</v>
      </c>
      <c r="F388" s="85">
        <v>44214</v>
      </c>
      <c r="G388" s="82" t="s">
        <v>71</v>
      </c>
      <c r="H388" s="82" t="s">
        <v>1106</v>
      </c>
      <c r="I388" s="82"/>
      <c r="J388" s="82" t="s">
        <v>1308</v>
      </c>
      <c r="K388" s="82" t="s">
        <v>42</v>
      </c>
      <c r="L388" s="86" t="s">
        <v>1309</v>
      </c>
      <c r="M388" s="79"/>
      <c r="N388" s="84">
        <v>3</v>
      </c>
      <c r="O388" s="95"/>
      <c r="P388" s="80"/>
      <c r="Q388" s="84" t="s">
        <v>776</v>
      </c>
      <c r="R388" s="101"/>
    </row>
    <row r="389" spans="1:18" ht="37.15" customHeight="1">
      <c r="A389" s="90" t="s">
        <v>1310</v>
      </c>
      <c r="B389" s="74" t="s">
        <v>53</v>
      </c>
      <c r="C389" s="75"/>
      <c r="D389" s="76" t="s">
        <v>39</v>
      </c>
      <c r="E389" s="77">
        <v>44200</v>
      </c>
      <c r="F389" s="77" t="s">
        <v>42</v>
      </c>
      <c r="G389" s="74" t="s">
        <v>108</v>
      </c>
      <c r="H389" s="74" t="s">
        <v>1264</v>
      </c>
      <c r="I389" s="74"/>
      <c r="J389" s="74" t="s">
        <v>56</v>
      </c>
      <c r="K389" s="74" t="s">
        <v>42</v>
      </c>
      <c r="L389" s="78" t="s">
        <v>1311</v>
      </c>
      <c r="M389" s="79"/>
      <c r="N389" s="76">
        <v>3</v>
      </c>
      <c r="O389" s="95"/>
      <c r="P389" s="80"/>
      <c r="Q389" s="76"/>
      <c r="R389" s="100"/>
    </row>
    <row r="390" spans="1:18" ht="37.15" customHeight="1">
      <c r="A390" s="89" t="s">
        <v>1312</v>
      </c>
      <c r="B390" s="82" t="s">
        <v>53</v>
      </c>
      <c r="C390" s="83"/>
      <c r="D390" s="84" t="s">
        <v>39</v>
      </c>
      <c r="E390" s="85">
        <v>44202</v>
      </c>
      <c r="F390" s="85">
        <v>44233</v>
      </c>
      <c r="G390" s="82" t="s">
        <v>71</v>
      </c>
      <c r="H390" s="82" t="s">
        <v>1313</v>
      </c>
      <c r="I390" s="82"/>
      <c r="J390" s="82" t="s">
        <v>56</v>
      </c>
      <c r="K390" s="82" t="s">
        <v>42</v>
      </c>
      <c r="L390" s="86" t="s">
        <v>1314</v>
      </c>
      <c r="M390" s="79"/>
      <c r="N390" s="84">
        <v>2</v>
      </c>
      <c r="O390" s="95"/>
      <c r="P390" s="80"/>
      <c r="Q390" s="84" t="s">
        <v>776</v>
      </c>
      <c r="R390" s="101"/>
    </row>
    <row r="391" spans="1:18" ht="37.15" customHeight="1">
      <c r="A391" s="90" t="s">
        <v>1315</v>
      </c>
      <c r="B391" s="74" t="s">
        <v>53</v>
      </c>
      <c r="C391" s="75"/>
      <c r="D391" s="76" t="s">
        <v>117</v>
      </c>
      <c r="E391" s="77">
        <v>44203</v>
      </c>
      <c r="F391" s="77">
        <v>44234</v>
      </c>
      <c r="G391" s="74" t="s">
        <v>71</v>
      </c>
      <c r="H391" s="74" t="s">
        <v>1316</v>
      </c>
      <c r="I391" s="74"/>
      <c r="J391" s="74" t="s">
        <v>56</v>
      </c>
      <c r="K391" s="74" t="s">
        <v>42</v>
      </c>
      <c r="L391" s="78" t="s">
        <v>1317</v>
      </c>
      <c r="M391" s="79"/>
      <c r="N391" s="76">
        <v>3</v>
      </c>
      <c r="O391" s="95"/>
      <c r="P391" s="80"/>
      <c r="Q391" s="76" t="s">
        <v>776</v>
      </c>
      <c r="R391" s="104"/>
    </row>
    <row r="392" spans="1:18" ht="37.15" customHeight="1">
      <c r="A392" s="89" t="s">
        <v>1318</v>
      </c>
      <c r="B392" s="82" t="s">
        <v>53</v>
      </c>
      <c r="C392" s="83"/>
      <c r="D392" s="84" t="s">
        <v>39</v>
      </c>
      <c r="E392" s="85">
        <v>44204</v>
      </c>
      <c r="F392" s="85">
        <v>44235</v>
      </c>
      <c r="G392" s="82" t="s">
        <v>71</v>
      </c>
      <c r="H392" s="82" t="s">
        <v>304</v>
      </c>
      <c r="I392" s="82"/>
      <c r="J392" s="82" t="s">
        <v>253</v>
      </c>
      <c r="K392" s="82">
        <v>892899</v>
      </c>
      <c r="L392" s="86" t="s">
        <v>1319</v>
      </c>
      <c r="M392" s="79"/>
      <c r="N392" s="84">
        <v>3</v>
      </c>
      <c r="O392" s="95"/>
      <c r="P392" s="80"/>
      <c r="Q392" s="84" t="s">
        <v>776</v>
      </c>
      <c r="R392" s="101"/>
    </row>
    <row r="393" spans="1:18" ht="37.15" customHeight="1">
      <c r="A393" s="90" t="s">
        <v>1320</v>
      </c>
      <c r="B393" s="74" t="s">
        <v>53</v>
      </c>
      <c r="C393" s="75"/>
      <c r="D393" s="76" t="s">
        <v>39</v>
      </c>
      <c r="E393" s="77">
        <v>44209</v>
      </c>
      <c r="F393" s="77">
        <v>44240</v>
      </c>
      <c r="G393" s="74" t="s">
        <v>71</v>
      </c>
      <c r="H393" s="74" t="s">
        <v>402</v>
      </c>
      <c r="I393" s="74"/>
      <c r="J393" s="74" t="s">
        <v>316</v>
      </c>
      <c r="K393" s="74" t="s">
        <v>1321</v>
      </c>
      <c r="L393" s="78" t="s">
        <v>1322</v>
      </c>
      <c r="M393" s="79"/>
      <c r="N393" s="76">
        <v>3</v>
      </c>
      <c r="O393" s="95"/>
      <c r="P393" s="80"/>
      <c r="Q393" s="76" t="s">
        <v>776</v>
      </c>
      <c r="R393" s="104"/>
    </row>
    <row r="394" spans="1:18" ht="37.15" customHeight="1">
      <c r="A394" s="89" t="s">
        <v>1323</v>
      </c>
      <c r="B394" s="82" t="s">
        <v>53</v>
      </c>
      <c r="C394" s="83"/>
      <c r="D394" s="84" t="s">
        <v>39</v>
      </c>
      <c r="E394" s="85">
        <v>44214</v>
      </c>
      <c r="F394" s="85">
        <v>44346</v>
      </c>
      <c r="G394" s="82" t="s">
        <v>108</v>
      </c>
      <c r="H394" s="82" t="s">
        <v>1324</v>
      </c>
      <c r="I394" s="82"/>
      <c r="J394" s="82" t="s">
        <v>56</v>
      </c>
      <c r="K394" s="82" t="s">
        <v>42</v>
      </c>
      <c r="L394" s="86" t="s">
        <v>1325</v>
      </c>
      <c r="M394" s="79"/>
      <c r="N394" s="84">
        <v>2</v>
      </c>
      <c r="O394" s="95"/>
      <c r="P394" s="80"/>
      <c r="Q394" s="84" t="s">
        <v>776</v>
      </c>
      <c r="R394" s="103"/>
    </row>
    <row r="395" spans="1:18" ht="37.15" customHeight="1">
      <c r="A395" s="90" t="s">
        <v>1326</v>
      </c>
      <c r="B395" s="74" t="s">
        <v>53</v>
      </c>
      <c r="C395" s="75"/>
      <c r="D395" s="76" t="s">
        <v>39</v>
      </c>
      <c r="E395" s="77">
        <v>44216</v>
      </c>
      <c r="F395" s="77">
        <v>44247</v>
      </c>
      <c r="G395" s="74" t="s">
        <v>71</v>
      </c>
      <c r="H395" s="74" t="s">
        <v>1327</v>
      </c>
      <c r="I395" s="74"/>
      <c r="J395" s="74" t="s">
        <v>56</v>
      </c>
      <c r="K395" s="74">
        <v>2973</v>
      </c>
      <c r="L395" s="78" t="s">
        <v>1328</v>
      </c>
      <c r="M395" s="79"/>
      <c r="N395" s="76">
        <v>2</v>
      </c>
      <c r="O395" s="95"/>
      <c r="P395" s="80"/>
      <c r="Q395" s="76" t="s">
        <v>776</v>
      </c>
      <c r="R395" s="100"/>
    </row>
    <row r="396" spans="1:18" ht="37.15" customHeight="1">
      <c r="A396" s="89" t="s">
        <v>1329</v>
      </c>
      <c r="B396" s="82" t="s">
        <v>53</v>
      </c>
      <c r="C396" s="83"/>
      <c r="D396" s="84" t="s">
        <v>39</v>
      </c>
      <c r="E396" s="85">
        <v>44217</v>
      </c>
      <c r="F396" s="85">
        <v>44248</v>
      </c>
      <c r="G396" s="82" t="s">
        <v>71</v>
      </c>
      <c r="H396" s="82" t="s">
        <v>1330</v>
      </c>
      <c r="I396" s="82"/>
      <c r="J396" s="82" t="s">
        <v>102</v>
      </c>
      <c r="K396" s="82" t="s">
        <v>42</v>
      </c>
      <c r="L396" s="86" t="s">
        <v>1331</v>
      </c>
      <c r="M396" s="79"/>
      <c r="N396" s="84">
        <v>2</v>
      </c>
      <c r="O396" s="95"/>
      <c r="P396" s="80"/>
      <c r="Q396" s="84" t="s">
        <v>776</v>
      </c>
      <c r="R396" s="101"/>
    </row>
    <row r="397" spans="1:18" ht="37.15" customHeight="1">
      <c r="A397" s="90" t="s">
        <v>1332</v>
      </c>
      <c r="B397" s="74" t="s">
        <v>53</v>
      </c>
      <c r="C397" s="75"/>
      <c r="D397" s="76" t="s">
        <v>39</v>
      </c>
      <c r="E397" s="77">
        <v>44222</v>
      </c>
      <c r="F397" s="77">
        <v>44253</v>
      </c>
      <c r="G397" s="74" t="s">
        <v>108</v>
      </c>
      <c r="H397" s="74" t="s">
        <v>1333</v>
      </c>
      <c r="I397" s="74"/>
      <c r="J397" s="74" t="s">
        <v>534</v>
      </c>
      <c r="K397" s="74" t="s">
        <v>42</v>
      </c>
      <c r="L397" s="78" t="s">
        <v>1334</v>
      </c>
      <c r="M397" s="79"/>
      <c r="N397" s="76">
        <v>2</v>
      </c>
      <c r="O397" s="95"/>
      <c r="P397" s="80"/>
      <c r="Q397" s="76" t="s">
        <v>776</v>
      </c>
      <c r="R397" s="100"/>
    </row>
    <row r="398" spans="1:18" ht="37.15" customHeight="1">
      <c r="A398" s="89" t="s">
        <v>1335</v>
      </c>
      <c r="B398" s="82" t="s">
        <v>53</v>
      </c>
      <c r="C398" s="83"/>
      <c r="D398" s="84" t="s">
        <v>39</v>
      </c>
      <c r="E398" s="85">
        <v>44225</v>
      </c>
      <c r="F398" s="85">
        <v>44255</v>
      </c>
      <c r="G398" s="82" t="s">
        <v>71</v>
      </c>
      <c r="H398" s="82" t="s">
        <v>599</v>
      </c>
      <c r="I398" s="82"/>
      <c r="J398" s="82" t="s">
        <v>56</v>
      </c>
      <c r="K398" s="82">
        <v>508789</v>
      </c>
      <c r="L398" s="86" t="s">
        <v>1336</v>
      </c>
      <c r="M398" s="79"/>
      <c r="N398" s="84">
        <v>2</v>
      </c>
      <c r="O398" s="95"/>
      <c r="P398" s="80"/>
      <c r="Q398" s="84" t="s">
        <v>776</v>
      </c>
      <c r="R398" s="103"/>
    </row>
    <row r="399" spans="1:18" ht="37.15" customHeight="1">
      <c r="A399" s="90" t="s">
        <v>1337</v>
      </c>
      <c r="B399" s="74" t="s">
        <v>53</v>
      </c>
      <c r="C399" s="75"/>
      <c r="D399" s="76" t="s">
        <v>39</v>
      </c>
      <c r="E399" s="77">
        <v>44225</v>
      </c>
      <c r="F399" s="77">
        <v>44255</v>
      </c>
      <c r="G399" s="74" t="s">
        <v>108</v>
      </c>
      <c r="H399" s="76" t="s">
        <v>1338</v>
      </c>
      <c r="I399" s="76"/>
      <c r="J399" s="74" t="s">
        <v>1339</v>
      </c>
      <c r="K399" s="74">
        <v>112703</v>
      </c>
      <c r="L399" s="78" t="s">
        <v>1340</v>
      </c>
      <c r="M399" s="79"/>
      <c r="N399" s="76">
        <v>2</v>
      </c>
      <c r="O399" s="95"/>
      <c r="P399" s="80"/>
      <c r="Q399" s="76" t="s">
        <v>776</v>
      </c>
      <c r="R399" s="100"/>
    </row>
    <row r="400" spans="1:18" ht="37.15" customHeight="1">
      <c r="A400" s="89" t="s">
        <v>1341</v>
      </c>
      <c r="B400" s="82" t="s">
        <v>53</v>
      </c>
      <c r="C400" s="83"/>
      <c r="D400" s="84" t="s">
        <v>39</v>
      </c>
      <c r="E400" s="85">
        <v>44229</v>
      </c>
      <c r="F400" s="85" t="s">
        <v>42</v>
      </c>
      <c r="G400" s="82" t="s">
        <v>71</v>
      </c>
      <c r="H400" s="91" t="s">
        <v>1342</v>
      </c>
      <c r="I400" s="91"/>
      <c r="J400" s="82" t="s">
        <v>56</v>
      </c>
      <c r="K400" s="84" t="s">
        <v>1343</v>
      </c>
      <c r="L400" s="86" t="s">
        <v>1344</v>
      </c>
      <c r="M400" s="79"/>
      <c r="N400" s="84">
        <v>1</v>
      </c>
      <c r="O400" s="95"/>
      <c r="P400" s="80"/>
      <c r="Q400" s="84"/>
      <c r="R400" s="103"/>
    </row>
    <row r="401" spans="1:18" ht="37.15" customHeight="1">
      <c r="A401" s="90" t="s">
        <v>1345</v>
      </c>
      <c r="B401" s="74" t="s">
        <v>53</v>
      </c>
      <c r="C401" s="75"/>
      <c r="D401" s="76" t="s">
        <v>39</v>
      </c>
      <c r="E401" s="77">
        <v>44243</v>
      </c>
      <c r="F401" s="77" t="s">
        <v>42</v>
      </c>
      <c r="G401" s="74" t="s">
        <v>71</v>
      </c>
      <c r="H401" s="74" t="s">
        <v>210</v>
      </c>
      <c r="I401" s="74"/>
      <c r="J401" s="74" t="s">
        <v>316</v>
      </c>
      <c r="K401" s="74" t="s">
        <v>42</v>
      </c>
      <c r="L401" s="78" t="s">
        <v>1346</v>
      </c>
      <c r="M401" s="79"/>
      <c r="N401" s="76">
        <v>2</v>
      </c>
      <c r="O401" s="95"/>
      <c r="P401" s="80"/>
      <c r="Q401" s="76"/>
      <c r="R401" s="104"/>
    </row>
    <row r="402" spans="1:18" ht="37.15" customHeight="1">
      <c r="A402" s="89" t="s">
        <v>1347</v>
      </c>
      <c r="B402" s="82" t="s">
        <v>53</v>
      </c>
      <c r="C402" s="83"/>
      <c r="D402" s="84" t="s">
        <v>39</v>
      </c>
      <c r="E402" s="85">
        <v>44244</v>
      </c>
      <c r="F402" s="85">
        <v>44303</v>
      </c>
      <c r="G402" s="82" t="s">
        <v>71</v>
      </c>
      <c r="H402" s="82" t="s">
        <v>1348</v>
      </c>
      <c r="I402" s="82"/>
      <c r="J402" s="82" t="s">
        <v>56</v>
      </c>
      <c r="K402" s="82">
        <v>508874</v>
      </c>
      <c r="L402" s="86" t="s">
        <v>1349</v>
      </c>
      <c r="M402" s="79"/>
      <c r="N402" s="84">
        <v>3</v>
      </c>
      <c r="O402" s="95"/>
      <c r="P402" s="80"/>
      <c r="Q402" s="84" t="s">
        <v>776</v>
      </c>
      <c r="R402" s="101"/>
    </row>
    <row r="403" spans="1:18" ht="37.15" customHeight="1">
      <c r="A403" s="90" t="s">
        <v>1350</v>
      </c>
      <c r="B403" s="74" t="s">
        <v>53</v>
      </c>
      <c r="C403" s="75"/>
      <c r="D403" s="76" t="s">
        <v>39</v>
      </c>
      <c r="E403" s="77">
        <v>44257</v>
      </c>
      <c r="F403" s="77">
        <v>44348</v>
      </c>
      <c r="G403" s="74" t="s">
        <v>71</v>
      </c>
      <c r="H403" s="74" t="s">
        <v>1351</v>
      </c>
      <c r="I403" s="74"/>
      <c r="J403" s="74" t="s">
        <v>98</v>
      </c>
      <c r="K403" s="74" t="s">
        <v>42</v>
      </c>
      <c r="L403" s="78" t="s">
        <v>1352</v>
      </c>
      <c r="M403" s="79"/>
      <c r="N403" s="76">
        <v>3</v>
      </c>
      <c r="O403" s="95"/>
      <c r="P403" s="80"/>
      <c r="Q403" s="76" t="s">
        <v>776</v>
      </c>
      <c r="R403" s="100"/>
    </row>
    <row r="404" spans="1:18" ht="37.15" customHeight="1">
      <c r="A404" s="89" t="s">
        <v>1353</v>
      </c>
      <c r="B404" s="82" t="s">
        <v>53</v>
      </c>
      <c r="C404" s="83"/>
      <c r="D404" s="84" t="s">
        <v>39</v>
      </c>
      <c r="E404" s="85">
        <v>44265</v>
      </c>
      <c r="F404" s="85" t="s">
        <v>42</v>
      </c>
      <c r="G404" s="82" t="s">
        <v>71</v>
      </c>
      <c r="H404" s="82" t="s">
        <v>1354</v>
      </c>
      <c r="I404" s="82"/>
      <c r="J404" s="82" t="s">
        <v>56</v>
      </c>
      <c r="K404" s="82" t="s">
        <v>42</v>
      </c>
      <c r="L404" s="86" t="s">
        <v>1355</v>
      </c>
      <c r="M404" s="79"/>
      <c r="N404" s="84">
        <v>3</v>
      </c>
      <c r="O404" s="95"/>
      <c r="P404" s="80"/>
      <c r="Q404" s="84"/>
      <c r="R404" s="101"/>
    </row>
    <row r="405" spans="1:18" ht="37.15" customHeight="1">
      <c r="A405" s="90" t="s">
        <v>1356</v>
      </c>
      <c r="B405" s="74" t="s">
        <v>53</v>
      </c>
      <c r="C405" s="75"/>
      <c r="D405" s="76" t="s">
        <v>39</v>
      </c>
      <c r="E405" s="77">
        <v>44267</v>
      </c>
      <c r="F405" s="77">
        <v>44298</v>
      </c>
      <c r="G405" s="74" t="s">
        <v>108</v>
      </c>
      <c r="H405" s="74" t="s">
        <v>1251</v>
      </c>
      <c r="I405" s="74"/>
      <c r="J405" s="74" t="s">
        <v>56</v>
      </c>
      <c r="K405" s="74" t="s">
        <v>42</v>
      </c>
      <c r="L405" s="78" t="s">
        <v>1357</v>
      </c>
      <c r="M405" s="79"/>
      <c r="N405" s="76">
        <v>2</v>
      </c>
      <c r="O405" s="95"/>
      <c r="P405" s="80"/>
      <c r="Q405" s="76" t="s">
        <v>776</v>
      </c>
      <c r="R405" s="104"/>
    </row>
    <row r="406" spans="1:18" ht="37.15" customHeight="1">
      <c r="A406" s="89" t="s">
        <v>1358</v>
      </c>
      <c r="B406" s="82" t="s">
        <v>53</v>
      </c>
      <c r="C406" s="83"/>
      <c r="D406" s="84" t="s">
        <v>39</v>
      </c>
      <c r="E406" s="85">
        <v>44274</v>
      </c>
      <c r="F406" s="115" t="s">
        <v>1359</v>
      </c>
      <c r="G406" s="82" t="s">
        <v>71</v>
      </c>
      <c r="H406" s="82" t="s">
        <v>1360</v>
      </c>
      <c r="I406" s="82"/>
      <c r="J406" s="82" t="s">
        <v>56</v>
      </c>
      <c r="K406" s="84" t="s">
        <v>1361</v>
      </c>
      <c r="L406" s="86" t="s">
        <v>1362</v>
      </c>
      <c r="M406" s="79"/>
      <c r="N406" s="84">
        <v>2</v>
      </c>
      <c r="O406" s="95"/>
      <c r="P406" s="80"/>
      <c r="Q406" s="84"/>
      <c r="R406" s="103"/>
    </row>
    <row r="407" spans="1:18" ht="37.15" customHeight="1">
      <c r="A407" s="90" t="s">
        <v>1363</v>
      </c>
      <c r="B407" s="74" t="s">
        <v>53</v>
      </c>
      <c r="C407" s="75"/>
      <c r="D407" s="76" t="s">
        <v>117</v>
      </c>
      <c r="E407" s="77">
        <v>44274</v>
      </c>
      <c r="F407" s="77">
        <v>44305</v>
      </c>
      <c r="G407" s="74" t="s">
        <v>491</v>
      </c>
      <c r="H407" s="74" t="s">
        <v>1364</v>
      </c>
      <c r="I407" s="74"/>
      <c r="J407" s="74" t="s">
        <v>1365</v>
      </c>
      <c r="K407" s="74" t="s">
        <v>42</v>
      </c>
      <c r="L407" s="78" t="s">
        <v>1366</v>
      </c>
      <c r="M407" s="79"/>
      <c r="N407" s="76">
        <v>2</v>
      </c>
      <c r="O407" s="95"/>
      <c r="P407" s="80"/>
      <c r="Q407" s="76" t="s">
        <v>776</v>
      </c>
      <c r="R407" s="104"/>
    </row>
    <row r="408" spans="1:18" ht="37.15" customHeight="1">
      <c r="A408" s="89" t="s">
        <v>1367</v>
      </c>
      <c r="B408" s="82" t="s">
        <v>53</v>
      </c>
      <c r="C408" s="83"/>
      <c r="D408" s="84" t="s">
        <v>39</v>
      </c>
      <c r="E408" s="85">
        <v>44281</v>
      </c>
      <c r="F408" s="85">
        <v>44312</v>
      </c>
      <c r="G408" s="82" t="s">
        <v>71</v>
      </c>
      <c r="H408" s="82" t="s">
        <v>1351</v>
      </c>
      <c r="I408" s="82"/>
      <c r="J408" s="82" t="s">
        <v>316</v>
      </c>
      <c r="K408" s="82">
        <v>509015</v>
      </c>
      <c r="L408" s="86" t="s">
        <v>1368</v>
      </c>
      <c r="M408" s="79"/>
      <c r="N408" s="84">
        <v>2</v>
      </c>
      <c r="O408" s="95"/>
      <c r="P408" s="80"/>
      <c r="Q408" s="84" t="s">
        <v>776</v>
      </c>
      <c r="R408" s="101"/>
    </row>
    <row r="409" spans="1:18" ht="37.15" customHeight="1">
      <c r="A409" s="90" t="s">
        <v>1369</v>
      </c>
      <c r="B409" s="74" t="s">
        <v>53</v>
      </c>
      <c r="C409" s="75"/>
      <c r="D409" s="76" t="s">
        <v>39</v>
      </c>
      <c r="E409" s="77">
        <v>44292</v>
      </c>
      <c r="F409" s="77">
        <v>44322</v>
      </c>
      <c r="G409" s="74" t="s">
        <v>71</v>
      </c>
      <c r="H409" s="74" t="s">
        <v>1370</v>
      </c>
      <c r="I409" s="74"/>
      <c r="J409" s="74" t="s">
        <v>56</v>
      </c>
      <c r="K409" s="74">
        <v>509050</v>
      </c>
      <c r="L409" s="78" t="s">
        <v>1371</v>
      </c>
      <c r="M409" s="79"/>
      <c r="N409" s="76">
        <v>2</v>
      </c>
      <c r="O409" s="95"/>
      <c r="P409" s="80"/>
      <c r="Q409" s="76" t="s">
        <v>776</v>
      </c>
      <c r="R409" s="100"/>
    </row>
    <row r="410" spans="1:18" ht="37.15" customHeight="1">
      <c r="A410" s="89" t="s">
        <v>1372</v>
      </c>
      <c r="B410" s="82" t="s">
        <v>53</v>
      </c>
      <c r="C410" s="83"/>
      <c r="D410" s="84" t="s">
        <v>117</v>
      </c>
      <c r="E410" s="85">
        <v>44292</v>
      </c>
      <c r="F410" s="85">
        <v>44322</v>
      </c>
      <c r="G410" s="82" t="s">
        <v>71</v>
      </c>
      <c r="H410" s="82" t="s">
        <v>1373</v>
      </c>
      <c r="I410" s="82"/>
      <c r="J410" s="82" t="s">
        <v>1374</v>
      </c>
      <c r="K410" s="82">
        <v>2116957</v>
      </c>
      <c r="L410" s="86" t="s">
        <v>1375</v>
      </c>
      <c r="M410" s="79"/>
      <c r="N410" s="84">
        <v>2</v>
      </c>
      <c r="O410" s="95"/>
      <c r="P410" s="80"/>
      <c r="Q410" s="84" t="s">
        <v>776</v>
      </c>
      <c r="R410" s="101"/>
    </row>
    <row r="411" spans="1:18" ht="37.15" customHeight="1">
      <c r="A411" s="90" t="s">
        <v>1376</v>
      </c>
      <c r="B411" s="74" t="s">
        <v>53</v>
      </c>
      <c r="C411" s="75"/>
      <c r="D411" s="76" t="s">
        <v>39</v>
      </c>
      <c r="E411" s="77">
        <v>44299</v>
      </c>
      <c r="F411" s="77">
        <v>44329</v>
      </c>
      <c r="G411" s="74" t="s">
        <v>71</v>
      </c>
      <c r="H411" s="92" t="s">
        <v>1377</v>
      </c>
      <c r="I411" s="92"/>
      <c r="J411" s="74" t="s">
        <v>1378</v>
      </c>
      <c r="K411" s="74" t="s">
        <v>1379</v>
      </c>
      <c r="L411" s="78" t="s">
        <v>1380</v>
      </c>
      <c r="M411" s="79"/>
      <c r="N411" s="76">
        <v>2</v>
      </c>
      <c r="O411" s="95"/>
      <c r="P411" s="80"/>
      <c r="Q411" s="76" t="s">
        <v>776</v>
      </c>
      <c r="R411" s="104"/>
    </row>
    <row r="412" spans="1:18" ht="37.15" hidden="1" customHeight="1">
      <c r="A412" s="89" t="s">
        <v>1381</v>
      </c>
      <c r="B412" s="82" t="s">
        <v>38</v>
      </c>
      <c r="C412" s="83"/>
      <c r="D412" s="84" t="s">
        <v>39</v>
      </c>
      <c r="E412" s="85">
        <v>44316</v>
      </c>
      <c r="F412" s="85">
        <v>44346</v>
      </c>
      <c r="G412" s="82" t="s">
        <v>108</v>
      </c>
      <c r="H412" s="82" t="s">
        <v>1382</v>
      </c>
      <c r="I412" s="82"/>
      <c r="J412" s="82" t="s">
        <v>1383</v>
      </c>
      <c r="K412" s="82" t="s">
        <v>442</v>
      </c>
      <c r="L412" s="86" t="s">
        <v>1384</v>
      </c>
      <c r="M412" s="79"/>
      <c r="N412" s="84">
        <v>3</v>
      </c>
      <c r="O412" s="95"/>
      <c r="P412" s="80"/>
      <c r="Q412" s="84" t="s">
        <v>45</v>
      </c>
      <c r="R412" s="101"/>
    </row>
    <row r="413" spans="1:18" ht="37.15" customHeight="1">
      <c r="A413" s="90" t="s">
        <v>1385</v>
      </c>
      <c r="B413" s="74" t="s">
        <v>53</v>
      </c>
      <c r="C413" s="75"/>
      <c r="D413" s="76" t="s">
        <v>39</v>
      </c>
      <c r="E413" s="77">
        <v>44320</v>
      </c>
      <c r="F413" s="77" t="s">
        <v>42</v>
      </c>
      <c r="G413" s="74" t="s">
        <v>71</v>
      </c>
      <c r="H413" s="92" t="s">
        <v>1386</v>
      </c>
      <c r="I413" s="92"/>
      <c r="J413" s="74" t="s">
        <v>98</v>
      </c>
      <c r="K413" s="74">
        <v>509145</v>
      </c>
      <c r="L413" s="78" t="s">
        <v>1387</v>
      </c>
      <c r="M413" s="79"/>
      <c r="N413" s="76">
        <v>1</v>
      </c>
      <c r="O413" s="95"/>
      <c r="P413" s="80"/>
      <c r="Q413" s="76"/>
      <c r="R413" s="104"/>
    </row>
    <row r="414" spans="1:18" ht="37.15" hidden="1" customHeight="1">
      <c r="A414" s="20" t="s">
        <v>1388</v>
      </c>
      <c r="B414" s="82" t="s">
        <v>38</v>
      </c>
      <c r="C414" s="83"/>
      <c r="D414" s="84" t="s">
        <v>39</v>
      </c>
      <c r="E414" s="85">
        <v>44336</v>
      </c>
      <c r="F414" s="85">
        <v>44367</v>
      </c>
      <c r="G414" s="82" t="s">
        <v>1288</v>
      </c>
      <c r="H414" s="82" t="s">
        <v>1389</v>
      </c>
      <c r="I414" s="82"/>
      <c r="J414" s="82" t="s">
        <v>449</v>
      </c>
      <c r="K414" s="82"/>
      <c r="L414" s="86" t="s">
        <v>1390</v>
      </c>
      <c r="M414" s="79"/>
      <c r="N414" s="84">
        <v>1</v>
      </c>
      <c r="O414" s="95"/>
      <c r="P414" s="80"/>
      <c r="Q414" s="84" t="s">
        <v>45</v>
      </c>
      <c r="R414" s="103"/>
    </row>
    <row r="415" spans="1:18" ht="37.15" hidden="1" customHeight="1">
      <c r="A415" s="19" t="s">
        <v>1391</v>
      </c>
      <c r="B415" s="74" t="s">
        <v>38</v>
      </c>
      <c r="C415" s="75"/>
      <c r="D415" s="76" t="s">
        <v>39</v>
      </c>
      <c r="E415" s="77">
        <v>44336</v>
      </c>
      <c r="F415" s="77">
        <v>44367</v>
      </c>
      <c r="G415" s="74" t="s">
        <v>1288</v>
      </c>
      <c r="H415" s="74" t="s">
        <v>1392</v>
      </c>
      <c r="I415" s="74"/>
      <c r="J415" s="74" t="s">
        <v>1393</v>
      </c>
      <c r="K415" s="74"/>
      <c r="L415" s="78" t="s">
        <v>1394</v>
      </c>
      <c r="M415" s="79"/>
      <c r="N415" s="76">
        <v>1</v>
      </c>
      <c r="O415" s="95"/>
      <c r="P415" s="80"/>
      <c r="Q415" s="76" t="s">
        <v>45</v>
      </c>
      <c r="R415" s="100"/>
    </row>
    <row r="416" spans="1:18" ht="37.15" hidden="1" customHeight="1">
      <c r="A416" s="20" t="s">
        <v>1395</v>
      </c>
      <c r="B416" s="82" t="s">
        <v>38</v>
      </c>
      <c r="C416" s="83"/>
      <c r="D416" s="84" t="s">
        <v>39</v>
      </c>
      <c r="E416" s="85">
        <v>44336</v>
      </c>
      <c r="F416" s="85">
        <v>44367</v>
      </c>
      <c r="G416" s="82" t="s">
        <v>108</v>
      </c>
      <c r="H416" s="82" t="s">
        <v>1396</v>
      </c>
      <c r="I416" s="82"/>
      <c r="J416" s="82" t="s">
        <v>56</v>
      </c>
      <c r="K416" s="82"/>
      <c r="L416" s="86" t="s">
        <v>1397</v>
      </c>
      <c r="M416" s="79"/>
      <c r="N416" s="84">
        <v>1</v>
      </c>
      <c r="O416" s="95"/>
      <c r="P416" s="80"/>
      <c r="Q416" s="84" t="s">
        <v>45</v>
      </c>
      <c r="R416" s="101"/>
    </row>
    <row r="417" spans="1:18" ht="37.15" hidden="1" customHeight="1">
      <c r="A417" s="19" t="s">
        <v>1398</v>
      </c>
      <c r="B417" s="74" t="s">
        <v>38</v>
      </c>
      <c r="C417" s="75"/>
      <c r="D417" s="76" t="s">
        <v>39</v>
      </c>
      <c r="E417" s="77">
        <v>44342</v>
      </c>
      <c r="F417" s="77">
        <v>44373</v>
      </c>
      <c r="G417" s="74" t="s">
        <v>53</v>
      </c>
      <c r="H417" s="92" t="s">
        <v>1399</v>
      </c>
      <c r="I417" s="92"/>
      <c r="J417" s="74" t="s">
        <v>1400</v>
      </c>
      <c r="K417" s="74" t="s">
        <v>1401</v>
      </c>
      <c r="L417" s="78" t="s">
        <v>1402</v>
      </c>
      <c r="M417" s="79"/>
      <c r="N417" s="76">
        <v>2</v>
      </c>
      <c r="O417" s="95"/>
      <c r="P417" s="80"/>
      <c r="Q417" s="76" t="s">
        <v>45</v>
      </c>
      <c r="R417" s="100"/>
    </row>
    <row r="418" spans="1:18" ht="37.15" customHeight="1">
      <c r="A418" s="89" t="s">
        <v>1403</v>
      </c>
      <c r="B418" s="82" t="s">
        <v>53</v>
      </c>
      <c r="C418" s="83"/>
      <c r="D418" s="84" t="s">
        <v>39</v>
      </c>
      <c r="E418" s="85">
        <v>44351</v>
      </c>
      <c r="F418" s="85">
        <v>44381</v>
      </c>
      <c r="G418" s="82" t="s">
        <v>71</v>
      </c>
      <c r="H418" s="82" t="s">
        <v>1351</v>
      </c>
      <c r="I418" s="82"/>
      <c r="J418" s="82" t="s">
        <v>56</v>
      </c>
      <c r="K418" s="82" t="s">
        <v>42</v>
      </c>
      <c r="L418" s="86" t="s">
        <v>1404</v>
      </c>
      <c r="M418" s="79"/>
      <c r="N418" s="84">
        <v>1</v>
      </c>
      <c r="O418" s="95"/>
      <c r="P418" s="80"/>
      <c r="Q418" s="84" t="s">
        <v>45</v>
      </c>
      <c r="R418" s="103"/>
    </row>
    <row r="419" spans="1:18" ht="37.15" customHeight="1">
      <c r="A419" s="90" t="s">
        <v>1405</v>
      </c>
      <c r="B419" s="74" t="s">
        <v>53</v>
      </c>
      <c r="C419" s="75"/>
      <c r="D419" s="76" t="s">
        <v>39</v>
      </c>
      <c r="E419" s="77">
        <v>44354</v>
      </c>
      <c r="F419" s="97" t="s">
        <v>1359</v>
      </c>
      <c r="G419" s="74" t="s">
        <v>71</v>
      </c>
      <c r="H419" s="74" t="s">
        <v>905</v>
      </c>
      <c r="I419" s="74"/>
      <c r="J419" s="74" t="s">
        <v>56</v>
      </c>
      <c r="K419" s="74">
        <v>509290</v>
      </c>
      <c r="L419" s="78" t="s">
        <v>1406</v>
      </c>
      <c r="M419" s="79"/>
      <c r="N419" s="76">
        <v>1</v>
      </c>
      <c r="O419" s="95"/>
      <c r="P419" s="80"/>
      <c r="Q419" s="76"/>
      <c r="R419" s="100"/>
    </row>
    <row r="420" spans="1:18" ht="37.15" hidden="1" customHeight="1">
      <c r="A420" s="20" t="s">
        <v>1407</v>
      </c>
      <c r="B420" s="82" t="s">
        <v>38</v>
      </c>
      <c r="C420" s="83"/>
      <c r="D420" s="84" t="s">
        <v>39</v>
      </c>
      <c r="E420" s="85">
        <v>44362</v>
      </c>
      <c r="F420" s="85">
        <v>44392</v>
      </c>
      <c r="G420" s="82" t="s">
        <v>53</v>
      </c>
      <c r="H420" s="82" t="s">
        <v>1408</v>
      </c>
      <c r="I420" s="82"/>
      <c r="J420" s="82" t="s">
        <v>1378</v>
      </c>
      <c r="K420" s="82" t="s">
        <v>1409</v>
      </c>
      <c r="L420" s="86" t="s">
        <v>1410</v>
      </c>
      <c r="M420" s="79"/>
      <c r="N420" s="84">
        <v>2</v>
      </c>
      <c r="O420" s="95"/>
      <c r="P420" s="80"/>
      <c r="Q420" s="84" t="s">
        <v>776</v>
      </c>
      <c r="R420" s="103"/>
    </row>
    <row r="421" spans="1:18" ht="37.15" customHeight="1">
      <c r="A421" s="90" t="s">
        <v>1411</v>
      </c>
      <c r="B421" s="74" t="s">
        <v>53</v>
      </c>
      <c r="C421" s="75"/>
      <c r="D421" s="76" t="s">
        <v>39</v>
      </c>
      <c r="E421" s="77">
        <v>44364</v>
      </c>
      <c r="F421" s="77" t="s">
        <v>42</v>
      </c>
      <c r="G421" s="74" t="s">
        <v>53</v>
      </c>
      <c r="H421" s="74" t="s">
        <v>1412</v>
      </c>
      <c r="I421" s="74"/>
      <c r="J421" s="74" t="s">
        <v>1413</v>
      </c>
      <c r="K421" s="74" t="s">
        <v>42</v>
      </c>
      <c r="L421" s="78" t="s">
        <v>1414</v>
      </c>
      <c r="M421" s="79"/>
      <c r="N421" s="76">
        <v>2</v>
      </c>
      <c r="O421" s="95"/>
      <c r="P421" s="80"/>
      <c r="Q421" s="76"/>
      <c r="R421" s="104"/>
    </row>
    <row r="422" spans="1:18" ht="37.15" hidden="1" customHeight="1">
      <c r="A422" s="20" t="s">
        <v>1415</v>
      </c>
      <c r="B422" s="82" t="s">
        <v>38</v>
      </c>
      <c r="C422" s="83"/>
      <c r="D422" s="84" t="s">
        <v>39</v>
      </c>
      <c r="E422" s="85">
        <v>44364</v>
      </c>
      <c r="F422" s="85" t="s">
        <v>42</v>
      </c>
      <c r="G422" s="82" t="s">
        <v>1416</v>
      </c>
      <c r="H422" s="82" t="s">
        <v>1417</v>
      </c>
      <c r="I422" s="82"/>
      <c r="J422" s="82" t="s">
        <v>56</v>
      </c>
      <c r="K422" s="82" t="s">
        <v>42</v>
      </c>
      <c r="L422" s="86" t="s">
        <v>1418</v>
      </c>
      <c r="M422" s="79"/>
      <c r="N422" s="84">
        <v>2</v>
      </c>
      <c r="O422" s="95"/>
      <c r="P422" s="80"/>
      <c r="Q422" s="84" t="s">
        <v>776</v>
      </c>
      <c r="R422" s="101"/>
    </row>
    <row r="423" spans="1:18" ht="37.15" customHeight="1">
      <c r="A423" s="90" t="s">
        <v>1419</v>
      </c>
      <c r="B423" s="74" t="s">
        <v>53</v>
      </c>
      <c r="C423" s="75"/>
      <c r="D423" s="76" t="s">
        <v>39</v>
      </c>
      <c r="E423" s="77">
        <v>44368</v>
      </c>
      <c r="F423" s="77">
        <v>44398</v>
      </c>
      <c r="G423" s="74" t="s">
        <v>71</v>
      </c>
      <c r="H423" s="74" t="s">
        <v>1420</v>
      </c>
      <c r="I423" s="74"/>
      <c r="J423" s="74" t="s">
        <v>1421</v>
      </c>
      <c r="K423" s="74">
        <v>207091</v>
      </c>
      <c r="L423" s="78" t="s">
        <v>1422</v>
      </c>
      <c r="M423" s="79"/>
      <c r="N423" s="76">
        <v>2</v>
      </c>
      <c r="O423" s="95"/>
      <c r="P423" s="80"/>
      <c r="Q423" s="76" t="s">
        <v>776</v>
      </c>
      <c r="R423" s="100"/>
    </row>
    <row r="424" spans="1:18" ht="37.15" hidden="1" customHeight="1">
      <c r="A424" s="20" t="s">
        <v>1423</v>
      </c>
      <c r="B424" s="82" t="s">
        <v>38</v>
      </c>
      <c r="C424" s="83"/>
      <c r="D424" s="84" t="s">
        <v>39</v>
      </c>
      <c r="E424" s="85">
        <v>44368</v>
      </c>
      <c r="F424" s="85">
        <v>44399</v>
      </c>
      <c r="G424" s="82" t="s">
        <v>108</v>
      </c>
      <c r="H424" s="82" t="s">
        <v>1424</v>
      </c>
      <c r="I424" s="82"/>
      <c r="J424" s="82" t="s">
        <v>56</v>
      </c>
      <c r="K424" s="82" t="s">
        <v>119</v>
      </c>
      <c r="L424" s="86" t="s">
        <v>1425</v>
      </c>
      <c r="M424" s="79"/>
      <c r="N424" s="84">
        <v>2</v>
      </c>
      <c r="O424" s="95"/>
      <c r="P424" s="80"/>
      <c r="Q424" s="84" t="s">
        <v>776</v>
      </c>
      <c r="R424" s="101"/>
    </row>
    <row r="425" spans="1:18" ht="37.15" customHeight="1">
      <c r="A425" s="90" t="s">
        <v>1426</v>
      </c>
      <c r="B425" s="74" t="s">
        <v>53</v>
      </c>
      <c r="C425" s="75"/>
      <c r="D425" s="76" t="s">
        <v>39</v>
      </c>
      <c r="E425" s="77">
        <v>44376</v>
      </c>
      <c r="F425" s="77" t="s">
        <v>42</v>
      </c>
      <c r="G425" s="74" t="s">
        <v>71</v>
      </c>
      <c r="H425" s="74" t="s">
        <v>1427</v>
      </c>
      <c r="I425" s="74"/>
      <c r="J425" s="74" t="s">
        <v>56</v>
      </c>
      <c r="K425" s="76" t="s">
        <v>1428</v>
      </c>
      <c r="L425" s="78" t="s">
        <v>1429</v>
      </c>
      <c r="M425" s="79"/>
      <c r="N425" s="76" t="s">
        <v>1430</v>
      </c>
      <c r="O425" s="95"/>
      <c r="P425" s="80"/>
      <c r="Q425" s="76"/>
      <c r="R425" s="104"/>
    </row>
    <row r="426" spans="1:18" ht="37.15" hidden="1" customHeight="1">
      <c r="A426" s="89" t="s">
        <v>1431</v>
      </c>
      <c r="B426" s="82" t="s">
        <v>47</v>
      </c>
      <c r="C426" s="83"/>
      <c r="D426" s="84" t="s">
        <v>39</v>
      </c>
      <c r="E426" s="85">
        <v>44384</v>
      </c>
      <c r="F426" s="85" t="s">
        <v>42</v>
      </c>
      <c r="G426" s="82" t="s">
        <v>71</v>
      </c>
      <c r="H426" s="82" t="s">
        <v>1432</v>
      </c>
      <c r="I426" s="82"/>
      <c r="J426" s="82" t="s">
        <v>102</v>
      </c>
      <c r="K426" s="82" t="s">
        <v>42</v>
      </c>
      <c r="L426" s="86" t="s">
        <v>1433</v>
      </c>
      <c r="M426" s="79"/>
      <c r="N426" s="84">
        <v>3</v>
      </c>
      <c r="O426" s="95"/>
      <c r="P426" s="80"/>
      <c r="Q426" s="84" t="s">
        <v>776</v>
      </c>
      <c r="R426" s="101"/>
    </row>
    <row r="427" spans="1:18" ht="37.15" hidden="1" customHeight="1">
      <c r="A427" s="90" t="s">
        <v>1434</v>
      </c>
      <c r="B427" s="74" t="s">
        <v>47</v>
      </c>
      <c r="C427" s="75"/>
      <c r="D427" s="76" t="s">
        <v>39</v>
      </c>
      <c r="E427" s="77">
        <v>44384</v>
      </c>
      <c r="F427" s="77" t="s">
        <v>42</v>
      </c>
      <c r="G427" s="74" t="s">
        <v>71</v>
      </c>
      <c r="H427" s="74" t="s">
        <v>1432</v>
      </c>
      <c r="I427" s="74"/>
      <c r="J427" s="74" t="s">
        <v>56</v>
      </c>
      <c r="K427" s="74" t="s">
        <v>42</v>
      </c>
      <c r="L427" s="78" t="s">
        <v>1435</v>
      </c>
      <c r="M427" s="79"/>
      <c r="N427" s="76">
        <v>3</v>
      </c>
      <c r="O427" s="95"/>
      <c r="P427" s="80"/>
      <c r="Q427" s="76" t="s">
        <v>776</v>
      </c>
      <c r="R427" s="100">
        <v>44385</v>
      </c>
    </row>
    <row r="428" spans="1:18" ht="37.15" hidden="1" customHeight="1">
      <c r="A428" s="89" t="s">
        <v>1436</v>
      </c>
      <c r="B428" s="82" t="s">
        <v>38</v>
      </c>
      <c r="C428" s="83"/>
      <c r="D428" s="84" t="s">
        <v>39</v>
      </c>
      <c r="E428" s="85">
        <v>44385</v>
      </c>
      <c r="F428" s="85"/>
      <c r="G428" s="82" t="s">
        <v>108</v>
      </c>
      <c r="H428" s="82" t="s">
        <v>1437</v>
      </c>
      <c r="I428" s="82"/>
      <c r="J428" s="82"/>
      <c r="K428" s="82"/>
      <c r="L428" s="86" t="s">
        <v>1438</v>
      </c>
      <c r="M428" s="79"/>
      <c r="N428" s="84">
        <v>2</v>
      </c>
      <c r="O428" s="95"/>
      <c r="P428" s="80"/>
      <c r="Q428" s="84" t="s">
        <v>776</v>
      </c>
      <c r="R428" s="103"/>
    </row>
    <row r="429" spans="1:18" ht="37.15" customHeight="1">
      <c r="A429" s="90" t="s">
        <v>1439</v>
      </c>
      <c r="B429" s="74" t="s">
        <v>53</v>
      </c>
      <c r="C429" s="75"/>
      <c r="D429" s="76" t="s">
        <v>117</v>
      </c>
      <c r="E429" s="77">
        <v>44386</v>
      </c>
      <c r="F429" s="77">
        <v>44417</v>
      </c>
      <c r="G429" s="74" t="s">
        <v>71</v>
      </c>
      <c r="H429" s="74" t="s">
        <v>1440</v>
      </c>
      <c r="I429" s="74"/>
      <c r="J429" s="74" t="s">
        <v>316</v>
      </c>
      <c r="K429" s="74" t="s">
        <v>42</v>
      </c>
      <c r="L429" s="78" t="s">
        <v>1441</v>
      </c>
      <c r="M429" s="79"/>
      <c r="N429" s="76">
        <v>2</v>
      </c>
      <c r="O429" s="95"/>
      <c r="P429" s="80"/>
      <c r="Q429" s="76" t="s">
        <v>776</v>
      </c>
      <c r="R429" s="100"/>
    </row>
    <row r="430" spans="1:18" ht="37.15" customHeight="1">
      <c r="A430" s="89" t="s">
        <v>1442</v>
      </c>
      <c r="B430" s="82" t="s">
        <v>53</v>
      </c>
      <c r="C430" s="83"/>
      <c r="D430" s="84" t="s">
        <v>39</v>
      </c>
      <c r="E430" s="85">
        <v>44398</v>
      </c>
      <c r="F430" s="85">
        <v>44490</v>
      </c>
      <c r="G430" s="82" t="s">
        <v>71</v>
      </c>
      <c r="H430" s="91" t="s">
        <v>1443</v>
      </c>
      <c r="I430" s="91"/>
      <c r="J430" s="82" t="s">
        <v>253</v>
      </c>
      <c r="K430" s="82" t="s">
        <v>42</v>
      </c>
      <c r="L430" s="116" t="s">
        <v>1444</v>
      </c>
      <c r="M430" s="117"/>
      <c r="N430" s="84">
        <v>2</v>
      </c>
      <c r="O430" s="95"/>
      <c r="P430" s="80"/>
      <c r="Q430" s="84" t="s">
        <v>776</v>
      </c>
      <c r="R430" s="101"/>
    </row>
    <row r="431" spans="1:18" ht="47.25" customHeight="1">
      <c r="A431" s="90" t="s">
        <v>1445</v>
      </c>
      <c r="B431" s="74" t="s">
        <v>53</v>
      </c>
      <c r="C431" s="75"/>
      <c r="D431" s="76" t="s">
        <v>39</v>
      </c>
      <c r="E431" s="77">
        <v>44405</v>
      </c>
      <c r="F431" s="77">
        <v>44467</v>
      </c>
      <c r="G431" s="74" t="s">
        <v>71</v>
      </c>
      <c r="H431" s="92" t="s">
        <v>1446</v>
      </c>
      <c r="I431" s="92"/>
      <c r="J431" s="74" t="s">
        <v>228</v>
      </c>
      <c r="K431" s="74" t="s">
        <v>42</v>
      </c>
      <c r="L431" s="78" t="s">
        <v>1447</v>
      </c>
      <c r="M431" s="79"/>
      <c r="N431" s="76">
        <v>2</v>
      </c>
      <c r="O431" s="95"/>
      <c r="P431" s="80"/>
      <c r="Q431" s="76" t="s">
        <v>776</v>
      </c>
      <c r="R431" s="100"/>
    </row>
    <row r="432" spans="1:18" ht="37.15" hidden="1" customHeight="1">
      <c r="A432" s="89" t="s">
        <v>1448</v>
      </c>
      <c r="B432" s="82" t="s">
        <v>38</v>
      </c>
      <c r="C432" s="83"/>
      <c r="D432" s="84" t="s">
        <v>39</v>
      </c>
      <c r="E432" s="85">
        <v>44412</v>
      </c>
      <c r="F432" s="85">
        <v>44443</v>
      </c>
      <c r="G432" s="82" t="s">
        <v>108</v>
      </c>
      <c r="H432" s="82" t="s">
        <v>1449</v>
      </c>
      <c r="I432" s="82"/>
      <c r="J432" s="82" t="s">
        <v>56</v>
      </c>
      <c r="K432" s="82"/>
      <c r="L432" s="86" t="s">
        <v>1450</v>
      </c>
      <c r="M432" s="79"/>
      <c r="N432" s="84">
        <v>2</v>
      </c>
      <c r="O432" s="95"/>
      <c r="P432" s="80"/>
      <c r="Q432" s="84" t="s">
        <v>776</v>
      </c>
      <c r="R432" s="103"/>
    </row>
    <row r="433" spans="1:18" ht="37.15" customHeight="1">
      <c r="A433" s="90" t="s">
        <v>1451</v>
      </c>
      <c r="B433" s="74" t="s">
        <v>53</v>
      </c>
      <c r="C433" s="75"/>
      <c r="D433" s="76" t="s">
        <v>39</v>
      </c>
      <c r="E433" s="77">
        <v>44418</v>
      </c>
      <c r="F433" s="77" t="s">
        <v>42</v>
      </c>
      <c r="G433" s="74" t="s">
        <v>71</v>
      </c>
      <c r="H433" s="92" t="s">
        <v>731</v>
      </c>
      <c r="I433" s="92"/>
      <c r="J433" s="74" t="s">
        <v>98</v>
      </c>
      <c r="K433" s="74">
        <v>934637</v>
      </c>
      <c r="L433" s="78" t="s">
        <v>1452</v>
      </c>
      <c r="M433" s="79"/>
      <c r="N433" s="76"/>
      <c r="O433" s="95"/>
      <c r="P433" s="80"/>
      <c r="Q433" s="76" t="s">
        <v>776</v>
      </c>
      <c r="R433" s="104"/>
    </row>
    <row r="434" spans="1:18" ht="37.15" customHeight="1">
      <c r="A434" s="89" t="s">
        <v>1453</v>
      </c>
      <c r="B434" s="82" t="s">
        <v>53</v>
      </c>
      <c r="C434" s="83"/>
      <c r="D434" s="84" t="s">
        <v>39</v>
      </c>
      <c r="E434" s="85">
        <v>44439</v>
      </c>
      <c r="F434" s="85">
        <v>44500</v>
      </c>
      <c r="G434" s="82" t="s">
        <v>71</v>
      </c>
      <c r="H434" s="118" t="s">
        <v>1351</v>
      </c>
      <c r="I434" s="118"/>
      <c r="J434" s="82" t="s">
        <v>98</v>
      </c>
      <c r="K434" s="82">
        <v>509495</v>
      </c>
      <c r="L434" s="86" t="s">
        <v>1454</v>
      </c>
      <c r="M434" s="79"/>
      <c r="N434" s="84">
        <v>2</v>
      </c>
      <c r="O434" s="95"/>
      <c r="P434" s="80"/>
      <c r="Q434" s="84" t="s">
        <v>776</v>
      </c>
      <c r="R434" s="101"/>
    </row>
    <row r="435" spans="1:18" ht="37.15" customHeight="1">
      <c r="A435" s="90" t="s">
        <v>1455</v>
      </c>
      <c r="B435" s="74" t="s">
        <v>53</v>
      </c>
      <c r="C435" s="75"/>
      <c r="D435" s="76" t="s">
        <v>39</v>
      </c>
      <c r="E435" s="77">
        <v>44449</v>
      </c>
      <c r="F435" s="77" t="s">
        <v>42</v>
      </c>
      <c r="G435" s="74" t="s">
        <v>71</v>
      </c>
      <c r="H435" s="119" t="s">
        <v>1351</v>
      </c>
      <c r="I435" s="119"/>
      <c r="J435" s="74" t="s">
        <v>98</v>
      </c>
      <c r="K435" s="74" t="s">
        <v>42</v>
      </c>
      <c r="L435" s="78" t="s">
        <v>1454</v>
      </c>
      <c r="M435" s="79"/>
      <c r="N435" s="76">
        <v>2</v>
      </c>
      <c r="O435" s="95"/>
      <c r="P435" s="80"/>
      <c r="Q435" s="76" t="s">
        <v>776</v>
      </c>
      <c r="R435" s="100"/>
    </row>
    <row r="436" spans="1:18" ht="37.15" customHeight="1">
      <c r="A436" s="89" t="s">
        <v>1456</v>
      </c>
      <c r="B436" s="82" t="s">
        <v>53</v>
      </c>
      <c r="C436" s="83"/>
      <c r="D436" s="84" t="s">
        <v>39</v>
      </c>
      <c r="E436" s="85">
        <v>44454</v>
      </c>
      <c r="F436" s="85" t="s">
        <v>42</v>
      </c>
      <c r="G436" s="82" t="s">
        <v>71</v>
      </c>
      <c r="H436" s="82" t="s">
        <v>1457</v>
      </c>
      <c r="I436" s="82"/>
      <c r="J436" s="82" t="s">
        <v>98</v>
      </c>
      <c r="K436" s="82" t="s">
        <v>42</v>
      </c>
      <c r="L436" s="86" t="s">
        <v>1458</v>
      </c>
      <c r="M436" s="79"/>
      <c r="N436" s="84">
        <v>2</v>
      </c>
      <c r="O436" s="95"/>
      <c r="P436" s="80"/>
      <c r="Q436" s="84" t="s">
        <v>776</v>
      </c>
      <c r="R436" s="101"/>
    </row>
    <row r="437" spans="1:18" ht="37.15" customHeight="1">
      <c r="A437" s="90" t="s">
        <v>1459</v>
      </c>
      <c r="B437" s="74" t="s">
        <v>53</v>
      </c>
      <c r="C437" s="75"/>
      <c r="D437" s="76" t="s">
        <v>39</v>
      </c>
      <c r="E437" s="77">
        <v>44461</v>
      </c>
      <c r="F437" s="77" t="s">
        <v>42</v>
      </c>
      <c r="G437" s="74" t="s">
        <v>71</v>
      </c>
      <c r="H437" s="92" t="s">
        <v>1054</v>
      </c>
      <c r="I437" s="92"/>
      <c r="J437" s="74" t="s">
        <v>56</v>
      </c>
      <c r="K437" s="74" t="s">
        <v>1460</v>
      </c>
      <c r="L437" s="78" t="s">
        <v>1461</v>
      </c>
      <c r="M437" s="79"/>
      <c r="N437" s="76" t="s">
        <v>1430</v>
      </c>
      <c r="O437" s="95"/>
      <c r="P437" s="80"/>
      <c r="Q437" s="76"/>
      <c r="R437" s="104"/>
    </row>
    <row r="438" spans="1:18" ht="37.15" customHeight="1">
      <c r="A438" s="89" t="s">
        <v>1462</v>
      </c>
      <c r="B438" s="82" t="s">
        <v>53</v>
      </c>
      <c r="C438" s="83"/>
      <c r="D438" s="84" t="s">
        <v>39</v>
      </c>
      <c r="E438" s="85">
        <v>44466</v>
      </c>
      <c r="F438" s="85" t="s">
        <v>42</v>
      </c>
      <c r="G438" s="82" t="s">
        <v>71</v>
      </c>
      <c r="H438" s="82" t="s">
        <v>1463</v>
      </c>
      <c r="I438" s="82"/>
      <c r="J438" s="82" t="s">
        <v>56</v>
      </c>
      <c r="K438" s="82">
        <v>894018</v>
      </c>
      <c r="L438" s="86" t="s">
        <v>1464</v>
      </c>
      <c r="M438" s="79"/>
      <c r="N438" s="84" t="s">
        <v>1430</v>
      </c>
      <c r="O438" s="95"/>
      <c r="P438" s="80"/>
      <c r="Q438" s="84"/>
      <c r="R438" s="101"/>
    </row>
    <row r="439" spans="1:18" ht="37.15" hidden="1" customHeight="1">
      <c r="A439" s="90" t="s">
        <v>1465</v>
      </c>
      <c r="B439" s="74" t="s">
        <v>47</v>
      </c>
      <c r="C439" s="75"/>
      <c r="D439" s="76" t="s">
        <v>39</v>
      </c>
      <c r="E439" s="77">
        <v>44468</v>
      </c>
      <c r="F439" s="77" t="s">
        <v>42</v>
      </c>
      <c r="G439" s="74" t="s">
        <v>71</v>
      </c>
      <c r="H439" s="74" t="s">
        <v>1466</v>
      </c>
      <c r="I439" s="74"/>
      <c r="J439" s="74" t="s">
        <v>56</v>
      </c>
      <c r="K439" s="74" t="s">
        <v>42</v>
      </c>
      <c r="L439" s="78" t="s">
        <v>1467</v>
      </c>
      <c r="M439" s="79"/>
      <c r="N439" s="76">
        <v>3</v>
      </c>
      <c r="O439" s="95"/>
      <c r="P439" s="80"/>
      <c r="Q439" s="76" t="s">
        <v>42</v>
      </c>
      <c r="R439" s="104"/>
    </row>
    <row r="440" spans="1:18" ht="37.15" customHeight="1">
      <c r="A440" s="89" t="s">
        <v>1468</v>
      </c>
      <c r="B440" s="82" t="s">
        <v>53</v>
      </c>
      <c r="C440" s="83"/>
      <c r="D440" s="84" t="s">
        <v>39</v>
      </c>
      <c r="E440" s="85">
        <v>44481</v>
      </c>
      <c r="F440" s="85">
        <v>44512</v>
      </c>
      <c r="G440" s="82" t="s">
        <v>71</v>
      </c>
      <c r="H440" s="82" t="s">
        <v>1469</v>
      </c>
      <c r="I440" s="82"/>
      <c r="J440" s="82" t="s">
        <v>1365</v>
      </c>
      <c r="K440" s="82">
        <v>894049</v>
      </c>
      <c r="L440" s="86" t="s">
        <v>1470</v>
      </c>
      <c r="M440" s="79"/>
      <c r="N440" s="84">
        <v>1</v>
      </c>
      <c r="O440" s="95"/>
      <c r="P440" s="80"/>
      <c r="Q440" s="84" t="s">
        <v>776</v>
      </c>
      <c r="R440" s="103"/>
    </row>
    <row r="441" spans="1:18" ht="37.15" customHeight="1">
      <c r="A441" s="90" t="s">
        <v>1471</v>
      </c>
      <c r="B441" s="74" t="s">
        <v>53</v>
      </c>
      <c r="C441" s="75"/>
      <c r="D441" s="76" t="s">
        <v>117</v>
      </c>
      <c r="E441" s="77">
        <v>44482</v>
      </c>
      <c r="F441" s="77" t="s">
        <v>42</v>
      </c>
      <c r="G441" s="74" t="s">
        <v>71</v>
      </c>
      <c r="H441" s="74" t="s">
        <v>493</v>
      </c>
      <c r="I441" s="74"/>
      <c r="J441" s="76" t="s">
        <v>1472</v>
      </c>
      <c r="K441" s="74" t="s">
        <v>42</v>
      </c>
      <c r="L441" s="78" t="s">
        <v>1473</v>
      </c>
      <c r="M441" s="79"/>
      <c r="N441" s="76">
        <v>3</v>
      </c>
      <c r="O441" s="95"/>
      <c r="P441" s="80"/>
      <c r="Q441" s="76"/>
      <c r="R441" s="100"/>
    </row>
    <row r="442" spans="1:18" ht="37.15" customHeight="1">
      <c r="A442" s="89" t="s">
        <v>1474</v>
      </c>
      <c r="B442" s="82" t="s">
        <v>53</v>
      </c>
      <c r="C442" s="83"/>
      <c r="D442" s="84" t="s">
        <v>39</v>
      </c>
      <c r="E442" s="85">
        <v>44491</v>
      </c>
      <c r="F442" s="85" t="s">
        <v>42</v>
      </c>
      <c r="G442" s="82" t="s">
        <v>493</v>
      </c>
      <c r="H442" s="82" t="s">
        <v>1475</v>
      </c>
      <c r="I442" s="82"/>
      <c r="J442" s="82" t="s">
        <v>809</v>
      </c>
      <c r="K442" s="82" t="s">
        <v>42</v>
      </c>
      <c r="L442" s="86" t="s">
        <v>1476</v>
      </c>
      <c r="M442" s="79"/>
      <c r="N442" s="84">
        <v>4</v>
      </c>
      <c r="O442" s="95"/>
      <c r="P442" s="80"/>
      <c r="Q442" s="84" t="s">
        <v>776</v>
      </c>
      <c r="R442" s="101"/>
    </row>
    <row r="443" spans="1:18" ht="37.15" customHeight="1">
      <c r="A443" s="90" t="s">
        <v>1477</v>
      </c>
      <c r="B443" s="74" t="s">
        <v>53</v>
      </c>
      <c r="C443" s="75"/>
      <c r="D443" s="76" t="s">
        <v>39</v>
      </c>
      <c r="E443" s="77">
        <v>44491</v>
      </c>
      <c r="F443" s="77">
        <v>44525</v>
      </c>
      <c r="G443" s="74" t="s">
        <v>71</v>
      </c>
      <c r="H443" s="74" t="s">
        <v>1478</v>
      </c>
      <c r="I443" s="74"/>
      <c r="J443" s="74" t="s">
        <v>316</v>
      </c>
      <c r="K443" s="74" t="s">
        <v>42</v>
      </c>
      <c r="L443" s="78" t="s">
        <v>1479</v>
      </c>
      <c r="M443" s="79"/>
      <c r="N443" s="76">
        <v>2</v>
      </c>
      <c r="O443" s="95"/>
      <c r="P443" s="80"/>
      <c r="Q443" s="76" t="s">
        <v>776</v>
      </c>
      <c r="R443" s="100"/>
    </row>
    <row r="444" spans="1:18" ht="37.15" customHeight="1">
      <c r="A444" s="89" t="s">
        <v>1480</v>
      </c>
      <c r="B444" s="82" t="s">
        <v>53</v>
      </c>
      <c r="C444" s="83"/>
      <c r="D444" s="84" t="s">
        <v>39</v>
      </c>
      <c r="E444" s="85">
        <v>44494</v>
      </c>
      <c r="F444" s="85">
        <v>44525</v>
      </c>
      <c r="G444" s="82" t="s">
        <v>71</v>
      </c>
      <c r="H444" s="82" t="s">
        <v>1481</v>
      </c>
      <c r="I444" s="82"/>
      <c r="J444" s="82" t="s">
        <v>56</v>
      </c>
      <c r="K444" s="82">
        <v>113163</v>
      </c>
      <c r="L444" s="86" t="s">
        <v>1482</v>
      </c>
      <c r="M444" s="79"/>
      <c r="N444" s="84">
        <v>2</v>
      </c>
      <c r="O444" s="95"/>
      <c r="P444" s="80"/>
      <c r="Q444" s="84" t="s">
        <v>776</v>
      </c>
      <c r="R444" s="103"/>
    </row>
    <row r="445" spans="1:18" ht="37.15" customHeight="1">
      <c r="A445" s="90" t="s">
        <v>1483</v>
      </c>
      <c r="B445" s="74" t="s">
        <v>53</v>
      </c>
      <c r="C445" s="75"/>
      <c r="D445" s="76" t="s">
        <v>39</v>
      </c>
      <c r="E445" s="77">
        <v>44496</v>
      </c>
      <c r="F445" s="77">
        <v>44527</v>
      </c>
      <c r="G445" s="74" t="s">
        <v>71</v>
      </c>
      <c r="H445" s="74" t="s">
        <v>1484</v>
      </c>
      <c r="I445" s="74"/>
      <c r="J445" s="74" t="s">
        <v>316</v>
      </c>
      <c r="K445" s="74" t="s">
        <v>42</v>
      </c>
      <c r="L445" s="78" t="s">
        <v>1485</v>
      </c>
      <c r="M445" s="79"/>
      <c r="N445" s="76">
        <v>2</v>
      </c>
      <c r="O445" s="95"/>
      <c r="P445" s="80"/>
      <c r="Q445" s="76" t="s">
        <v>776</v>
      </c>
      <c r="R445" s="100"/>
    </row>
    <row r="446" spans="1:18" ht="37.15" hidden="1" customHeight="1">
      <c r="A446" s="89" t="s">
        <v>1486</v>
      </c>
      <c r="B446" s="82" t="s">
        <v>47</v>
      </c>
      <c r="C446" s="83"/>
      <c r="D446" s="84" t="s">
        <v>39</v>
      </c>
      <c r="E446" s="85">
        <v>44501</v>
      </c>
      <c r="F446" s="85"/>
      <c r="G446" s="82" t="s">
        <v>71</v>
      </c>
      <c r="H446" s="82" t="s">
        <v>1204</v>
      </c>
      <c r="I446" s="82"/>
      <c r="J446" s="82" t="s">
        <v>56</v>
      </c>
      <c r="K446" s="82" t="s">
        <v>42</v>
      </c>
      <c r="L446" s="86" t="s">
        <v>1487</v>
      </c>
      <c r="M446" s="79"/>
      <c r="N446" s="84">
        <v>3</v>
      </c>
      <c r="O446" s="95"/>
      <c r="P446" s="80"/>
      <c r="Q446" s="84" t="s">
        <v>776</v>
      </c>
      <c r="R446" s="103"/>
    </row>
    <row r="447" spans="1:18" ht="37.15" customHeight="1">
      <c r="A447" s="90" t="s">
        <v>1488</v>
      </c>
      <c r="B447" s="74" t="s">
        <v>53</v>
      </c>
      <c r="C447" s="75"/>
      <c r="D447" s="76" t="s">
        <v>117</v>
      </c>
      <c r="E447" s="77">
        <v>44504</v>
      </c>
      <c r="F447" s="77" t="s">
        <v>42</v>
      </c>
      <c r="G447" s="74" t="s">
        <v>71</v>
      </c>
      <c r="H447" s="74" t="s">
        <v>1489</v>
      </c>
      <c r="I447" s="74"/>
      <c r="J447" s="74" t="s">
        <v>102</v>
      </c>
      <c r="K447" s="74" t="s">
        <v>42</v>
      </c>
      <c r="L447" s="78" t="s">
        <v>1490</v>
      </c>
      <c r="M447" s="79"/>
      <c r="N447" s="76">
        <v>3</v>
      </c>
      <c r="O447" s="95"/>
      <c r="P447" s="80"/>
      <c r="Q447" s="76"/>
      <c r="R447" s="104"/>
    </row>
    <row r="448" spans="1:18" ht="37.15" hidden="1" customHeight="1">
      <c r="A448" s="20" t="s">
        <v>1491</v>
      </c>
      <c r="B448" s="82" t="s">
        <v>47</v>
      </c>
      <c r="C448" s="83"/>
      <c r="D448" s="84" t="s">
        <v>39</v>
      </c>
      <c r="E448" s="85">
        <v>44510</v>
      </c>
      <c r="F448" s="85" t="s">
        <v>42</v>
      </c>
      <c r="G448" s="82" t="s">
        <v>71</v>
      </c>
      <c r="H448" s="82" t="s">
        <v>569</v>
      </c>
      <c r="I448" s="82"/>
      <c r="J448" s="82" t="s">
        <v>56</v>
      </c>
      <c r="K448" s="82" t="s">
        <v>42</v>
      </c>
      <c r="L448" s="86" t="s">
        <v>1492</v>
      </c>
      <c r="M448" s="79"/>
      <c r="N448" s="84">
        <v>3</v>
      </c>
      <c r="O448" s="95"/>
      <c r="P448" s="80"/>
      <c r="Q448" s="84" t="s">
        <v>42</v>
      </c>
      <c r="R448" s="101"/>
    </row>
    <row r="449" spans="1:18" ht="37.15" customHeight="1">
      <c r="A449" s="90" t="s">
        <v>1493</v>
      </c>
      <c r="B449" s="74" t="s">
        <v>53</v>
      </c>
      <c r="C449" s="75"/>
      <c r="D449" s="76" t="s">
        <v>39</v>
      </c>
      <c r="E449" s="77">
        <v>44529</v>
      </c>
      <c r="F449" s="77">
        <v>44559</v>
      </c>
      <c r="G449" s="74" t="s">
        <v>71</v>
      </c>
      <c r="H449" s="74" t="s">
        <v>1222</v>
      </c>
      <c r="I449" s="74"/>
      <c r="J449" s="74" t="s">
        <v>56</v>
      </c>
      <c r="K449" s="74">
        <v>953080</v>
      </c>
      <c r="L449" s="78" t="s">
        <v>1494</v>
      </c>
      <c r="M449" s="79"/>
      <c r="N449" s="76">
        <v>3</v>
      </c>
      <c r="O449" s="95"/>
      <c r="P449" s="80"/>
      <c r="Q449" s="76"/>
      <c r="R449" s="100"/>
    </row>
    <row r="450" spans="1:18" ht="37.15" customHeight="1">
      <c r="A450" s="89" t="s">
        <v>1495</v>
      </c>
      <c r="B450" s="82" t="s">
        <v>53</v>
      </c>
      <c r="C450" s="83"/>
      <c r="D450" s="84" t="s">
        <v>39</v>
      </c>
      <c r="E450" s="85">
        <v>44530</v>
      </c>
      <c r="F450" s="85">
        <v>44560</v>
      </c>
      <c r="G450" s="82" t="s">
        <v>71</v>
      </c>
      <c r="H450" s="91" t="s">
        <v>731</v>
      </c>
      <c r="I450" s="91"/>
      <c r="J450" s="82" t="s">
        <v>56</v>
      </c>
      <c r="K450" s="82">
        <v>934717</v>
      </c>
      <c r="L450" s="86" t="s">
        <v>1496</v>
      </c>
      <c r="M450" s="79"/>
      <c r="N450" s="84">
        <v>2</v>
      </c>
      <c r="O450" s="95"/>
      <c r="P450" s="80"/>
      <c r="Q450" s="84"/>
      <c r="R450" s="101"/>
    </row>
    <row r="451" spans="1:18" ht="37.15" hidden="1" customHeight="1">
      <c r="A451" s="90" t="s">
        <v>1497</v>
      </c>
      <c r="B451" s="74" t="s">
        <v>47</v>
      </c>
      <c r="C451" s="75"/>
      <c r="D451" s="76" t="s">
        <v>117</v>
      </c>
      <c r="E451" s="77">
        <v>44543</v>
      </c>
      <c r="F451" s="77" t="s">
        <v>42</v>
      </c>
      <c r="G451" s="74" t="s">
        <v>71</v>
      </c>
      <c r="H451" s="74" t="s">
        <v>569</v>
      </c>
      <c r="I451" s="74"/>
      <c r="J451" s="74" t="s">
        <v>56</v>
      </c>
      <c r="K451" s="74" t="s">
        <v>42</v>
      </c>
      <c r="L451" s="78" t="s">
        <v>1498</v>
      </c>
      <c r="M451" s="79"/>
      <c r="N451" s="76">
        <v>3</v>
      </c>
      <c r="O451" s="95"/>
      <c r="P451" s="80"/>
      <c r="Q451" s="76" t="s">
        <v>776</v>
      </c>
      <c r="R451" s="100">
        <v>44547</v>
      </c>
    </row>
    <row r="452" spans="1:18" ht="37.15" customHeight="1">
      <c r="A452" s="89" t="s">
        <v>1499</v>
      </c>
      <c r="B452" s="82" t="s">
        <v>53</v>
      </c>
      <c r="C452" s="83"/>
      <c r="D452" s="84" t="s">
        <v>39</v>
      </c>
      <c r="E452" s="85">
        <v>44544</v>
      </c>
      <c r="F452" s="85" t="s">
        <v>42</v>
      </c>
      <c r="G452" s="82" t="s">
        <v>71</v>
      </c>
      <c r="H452" s="82" t="s">
        <v>1500</v>
      </c>
      <c r="I452" s="82"/>
      <c r="J452" s="82" t="s">
        <v>56</v>
      </c>
      <c r="K452" s="82" t="s">
        <v>1501</v>
      </c>
      <c r="L452" s="86" t="s">
        <v>1502</v>
      </c>
      <c r="M452" s="79"/>
      <c r="N452" s="84">
        <v>3</v>
      </c>
      <c r="O452" s="95"/>
      <c r="P452" s="80"/>
      <c r="Q452" s="84"/>
      <c r="R452" s="101"/>
    </row>
    <row r="453" spans="1:18" ht="37.15" hidden="1" customHeight="1">
      <c r="A453" s="90" t="s">
        <v>1503</v>
      </c>
      <c r="B453" s="74" t="s">
        <v>47</v>
      </c>
      <c r="C453" s="75"/>
      <c r="D453" s="76" t="s">
        <v>117</v>
      </c>
      <c r="E453" s="77">
        <v>44544</v>
      </c>
      <c r="F453" s="77">
        <v>44575</v>
      </c>
      <c r="G453" s="74" t="s">
        <v>71</v>
      </c>
      <c r="H453" s="74" t="s">
        <v>1504</v>
      </c>
      <c r="I453" s="74"/>
      <c r="J453" s="74" t="s">
        <v>493</v>
      </c>
      <c r="K453" s="74" t="s">
        <v>42</v>
      </c>
      <c r="L453" s="78" t="s">
        <v>1505</v>
      </c>
      <c r="M453" s="79"/>
      <c r="N453" s="76">
        <v>3</v>
      </c>
      <c r="O453" s="95"/>
      <c r="P453" s="80"/>
      <c r="Q453" s="120" t="s">
        <v>776</v>
      </c>
      <c r="R453" s="100">
        <v>44606</v>
      </c>
    </row>
    <row r="454" spans="1:18" ht="37.15" hidden="1" customHeight="1">
      <c r="A454" s="89" t="s">
        <v>1506</v>
      </c>
      <c r="B454" s="82" t="s">
        <v>47</v>
      </c>
      <c r="C454" s="83"/>
      <c r="D454" s="84" t="s">
        <v>117</v>
      </c>
      <c r="E454" s="85">
        <v>44545</v>
      </c>
      <c r="F454" s="85">
        <v>44576</v>
      </c>
      <c r="G454" s="82" t="s">
        <v>71</v>
      </c>
      <c r="H454" s="82" t="s">
        <v>1504</v>
      </c>
      <c r="I454" s="82"/>
      <c r="J454" s="82" t="s">
        <v>56</v>
      </c>
      <c r="K454" s="82" t="s">
        <v>1507</v>
      </c>
      <c r="L454" s="86" t="s">
        <v>1508</v>
      </c>
      <c r="M454" s="79"/>
      <c r="N454" s="84">
        <v>2</v>
      </c>
      <c r="O454" s="95"/>
      <c r="P454" s="80"/>
      <c r="Q454" s="105" t="s">
        <v>776</v>
      </c>
      <c r="R454" s="101">
        <v>44546</v>
      </c>
    </row>
    <row r="455" spans="1:18" ht="37.15" hidden="1" customHeight="1">
      <c r="A455" s="90" t="s">
        <v>1509</v>
      </c>
      <c r="B455" s="74" t="s">
        <v>47</v>
      </c>
      <c r="C455" s="75"/>
      <c r="D455" s="76" t="s">
        <v>117</v>
      </c>
      <c r="E455" s="77">
        <v>44546</v>
      </c>
      <c r="F455" s="77">
        <v>44577</v>
      </c>
      <c r="G455" s="74" t="s">
        <v>71</v>
      </c>
      <c r="H455" s="74" t="s">
        <v>1510</v>
      </c>
      <c r="I455" s="74"/>
      <c r="J455" s="74" t="s">
        <v>81</v>
      </c>
      <c r="K455" s="74" t="s">
        <v>1511</v>
      </c>
      <c r="L455" s="78" t="s">
        <v>1512</v>
      </c>
      <c r="M455" s="79"/>
      <c r="N455" s="76">
        <v>2</v>
      </c>
      <c r="O455" s="95"/>
      <c r="P455" s="80"/>
      <c r="Q455" s="120" t="s">
        <v>776</v>
      </c>
      <c r="R455" s="100">
        <v>44565</v>
      </c>
    </row>
    <row r="456" spans="1:18" ht="37.15" hidden="1" customHeight="1">
      <c r="A456" s="89" t="s">
        <v>1513</v>
      </c>
      <c r="B456" s="82" t="s">
        <v>47</v>
      </c>
      <c r="C456" s="83"/>
      <c r="D456" s="84" t="s">
        <v>117</v>
      </c>
      <c r="E456" s="85">
        <v>44546</v>
      </c>
      <c r="F456" s="85">
        <v>44577</v>
      </c>
      <c r="G456" s="82" t="s">
        <v>71</v>
      </c>
      <c r="H456" s="82" t="s">
        <v>1504</v>
      </c>
      <c r="I456" s="82"/>
      <c r="J456" s="82" t="s">
        <v>56</v>
      </c>
      <c r="K456" s="82" t="s">
        <v>42</v>
      </c>
      <c r="L456" s="86" t="s">
        <v>1514</v>
      </c>
      <c r="M456" s="79"/>
      <c r="N456" s="84">
        <v>2</v>
      </c>
      <c r="O456" s="95"/>
      <c r="P456" s="80"/>
      <c r="Q456" s="105" t="s">
        <v>776</v>
      </c>
      <c r="R456" s="101">
        <v>44606</v>
      </c>
    </row>
    <row r="457" spans="1:18" ht="37.15" customHeight="1">
      <c r="A457" s="90" t="s">
        <v>1515</v>
      </c>
      <c r="B457" s="74" t="s">
        <v>53</v>
      </c>
      <c r="C457" s="75"/>
      <c r="D457" s="76" t="s">
        <v>39</v>
      </c>
      <c r="E457" s="77">
        <v>44566</v>
      </c>
      <c r="F457" s="77">
        <v>44597</v>
      </c>
      <c r="G457" s="74" t="s">
        <v>71</v>
      </c>
      <c r="H457" s="74" t="s">
        <v>1126</v>
      </c>
      <c r="I457" s="74"/>
      <c r="J457" s="74" t="s">
        <v>56</v>
      </c>
      <c r="K457" s="74" t="s">
        <v>1516</v>
      </c>
      <c r="L457" s="78" t="s">
        <v>1517</v>
      </c>
      <c r="M457" s="79"/>
      <c r="N457" s="76">
        <v>2</v>
      </c>
      <c r="O457" s="95"/>
      <c r="P457" s="80"/>
      <c r="Q457" s="76"/>
      <c r="R457" s="100"/>
    </row>
    <row r="458" spans="1:18" ht="37.15" customHeight="1">
      <c r="A458" s="89" t="s">
        <v>1518</v>
      </c>
      <c r="B458" s="82" t="s">
        <v>53</v>
      </c>
      <c r="C458" s="83"/>
      <c r="D458" s="84" t="s">
        <v>39</v>
      </c>
      <c r="E458" s="85">
        <v>44568</v>
      </c>
      <c r="F458" s="85">
        <v>44627</v>
      </c>
      <c r="G458" s="82" t="s">
        <v>71</v>
      </c>
      <c r="H458" s="91" t="s">
        <v>1519</v>
      </c>
      <c r="I458" s="91"/>
      <c r="J458" s="82" t="s">
        <v>56</v>
      </c>
      <c r="K458" s="82" t="s">
        <v>42</v>
      </c>
      <c r="L458" s="86" t="s">
        <v>1520</v>
      </c>
      <c r="M458" s="79"/>
      <c r="N458" s="84">
        <v>2</v>
      </c>
      <c r="O458" s="95"/>
      <c r="P458" s="80"/>
      <c r="Q458" s="84" t="s">
        <v>776</v>
      </c>
      <c r="R458" s="103"/>
    </row>
    <row r="459" spans="1:18" ht="37.15" customHeight="1">
      <c r="A459" s="90" t="s">
        <v>1521</v>
      </c>
      <c r="B459" s="74" t="s">
        <v>53</v>
      </c>
      <c r="C459" s="75"/>
      <c r="D459" s="76" t="s">
        <v>39</v>
      </c>
      <c r="E459" s="77">
        <v>44578</v>
      </c>
      <c r="F459" s="77">
        <v>44609</v>
      </c>
      <c r="G459" s="74" t="s">
        <v>71</v>
      </c>
      <c r="H459" s="74" t="s">
        <v>1522</v>
      </c>
      <c r="I459" s="74"/>
      <c r="J459" s="74" t="s">
        <v>399</v>
      </c>
      <c r="K459" s="74" t="s">
        <v>42</v>
      </c>
      <c r="L459" s="78" t="s">
        <v>1523</v>
      </c>
      <c r="M459" s="79"/>
      <c r="N459" s="76">
        <v>2</v>
      </c>
      <c r="O459" s="95"/>
      <c r="P459" s="80"/>
      <c r="Q459" s="76"/>
      <c r="R459" s="104"/>
    </row>
    <row r="460" spans="1:18" ht="37.15" hidden="1" customHeight="1">
      <c r="A460" s="89" t="s">
        <v>1524</v>
      </c>
      <c r="B460" s="82" t="s">
        <v>47</v>
      </c>
      <c r="C460" s="83"/>
      <c r="D460" s="84" t="s">
        <v>39</v>
      </c>
      <c r="E460" s="85">
        <v>44580</v>
      </c>
      <c r="F460" s="85">
        <v>44611</v>
      </c>
      <c r="G460" s="82" t="s">
        <v>71</v>
      </c>
      <c r="H460" s="82" t="s">
        <v>1504</v>
      </c>
      <c r="I460" s="82"/>
      <c r="J460" s="82" t="s">
        <v>385</v>
      </c>
      <c r="K460" s="82" t="s">
        <v>1525</v>
      </c>
      <c r="L460" s="86" t="s">
        <v>1526</v>
      </c>
      <c r="M460" s="79"/>
      <c r="N460" s="84">
        <v>3</v>
      </c>
      <c r="O460" s="95"/>
      <c r="P460" s="80"/>
      <c r="Q460" s="84" t="s">
        <v>776</v>
      </c>
      <c r="R460" s="101">
        <v>44606</v>
      </c>
    </row>
    <row r="461" spans="1:18" ht="37.15" hidden="1" customHeight="1">
      <c r="A461" s="90" t="s">
        <v>1527</v>
      </c>
      <c r="B461" s="74" t="s">
        <v>47</v>
      </c>
      <c r="C461" s="75"/>
      <c r="D461" s="76" t="s">
        <v>117</v>
      </c>
      <c r="E461" s="77">
        <v>44586</v>
      </c>
      <c r="F461" s="77">
        <v>44617</v>
      </c>
      <c r="G461" s="74" t="s">
        <v>71</v>
      </c>
      <c r="H461" s="74" t="s">
        <v>1504</v>
      </c>
      <c r="I461" s="74"/>
      <c r="J461" s="74" t="s">
        <v>56</v>
      </c>
      <c r="K461" s="74" t="s">
        <v>1525</v>
      </c>
      <c r="L461" s="78" t="s">
        <v>1528</v>
      </c>
      <c r="M461" s="79"/>
      <c r="N461" s="76">
        <v>3</v>
      </c>
      <c r="O461" s="95"/>
      <c r="P461" s="80"/>
      <c r="Q461" s="76" t="s">
        <v>776</v>
      </c>
      <c r="R461" s="100">
        <v>44588</v>
      </c>
    </row>
    <row r="462" spans="1:18" ht="37.15" hidden="1" customHeight="1">
      <c r="A462" s="89" t="s">
        <v>1529</v>
      </c>
      <c r="B462" s="82" t="s">
        <v>38</v>
      </c>
      <c r="C462" s="83"/>
      <c r="D462" s="84" t="s">
        <v>39</v>
      </c>
      <c r="E462" s="85">
        <v>44586</v>
      </c>
      <c r="F462" s="85">
        <v>44617</v>
      </c>
      <c r="G462" s="82" t="s">
        <v>71</v>
      </c>
      <c r="H462" s="82" t="s">
        <v>1530</v>
      </c>
      <c r="I462" s="82"/>
      <c r="J462" s="82" t="s">
        <v>56</v>
      </c>
      <c r="K462" s="82" t="s">
        <v>1525</v>
      </c>
      <c r="L462" s="86" t="s">
        <v>1531</v>
      </c>
      <c r="M462" s="79"/>
      <c r="N462" s="84">
        <v>3</v>
      </c>
      <c r="O462" s="95"/>
      <c r="P462" s="80"/>
      <c r="Q462" s="84" t="s">
        <v>45</v>
      </c>
      <c r="R462" s="101">
        <v>44638</v>
      </c>
    </row>
    <row r="463" spans="1:18" ht="37.15" hidden="1" customHeight="1">
      <c r="A463" s="90" t="s">
        <v>1532</v>
      </c>
      <c r="B463" s="74" t="s">
        <v>38</v>
      </c>
      <c r="C463" s="75"/>
      <c r="D463" s="76" t="s">
        <v>39</v>
      </c>
      <c r="E463" s="77">
        <v>44592</v>
      </c>
      <c r="F463" s="77">
        <v>44623</v>
      </c>
      <c r="G463" s="74" t="s">
        <v>886</v>
      </c>
      <c r="H463" s="74" t="s">
        <v>1533</v>
      </c>
      <c r="I463" s="74"/>
      <c r="J463" s="74" t="s">
        <v>493</v>
      </c>
      <c r="K463" s="74" t="s">
        <v>1525</v>
      </c>
      <c r="L463" s="78" t="s">
        <v>1534</v>
      </c>
      <c r="M463" s="79"/>
      <c r="N463" s="76">
        <v>3</v>
      </c>
      <c r="O463" s="95"/>
      <c r="P463" s="80"/>
      <c r="Q463" s="76" t="s">
        <v>45</v>
      </c>
      <c r="R463" s="100">
        <v>44644</v>
      </c>
    </row>
    <row r="464" spans="1:18" ht="37.15" customHeight="1">
      <c r="A464" s="89" t="s">
        <v>1535</v>
      </c>
      <c r="B464" s="82" t="s">
        <v>53</v>
      </c>
      <c r="C464" s="83"/>
      <c r="D464" s="84" t="s">
        <v>39</v>
      </c>
      <c r="E464" s="85">
        <v>44595</v>
      </c>
      <c r="F464" s="85" t="s">
        <v>42</v>
      </c>
      <c r="G464" s="82" t="s">
        <v>71</v>
      </c>
      <c r="H464" s="82" t="s">
        <v>1536</v>
      </c>
      <c r="I464" s="82"/>
      <c r="J464" s="82" t="s">
        <v>56</v>
      </c>
      <c r="K464" s="82"/>
      <c r="L464" s="86" t="s">
        <v>1537</v>
      </c>
      <c r="M464" s="79"/>
      <c r="N464" s="84">
        <v>1</v>
      </c>
      <c r="O464" s="95"/>
      <c r="P464" s="80"/>
      <c r="Q464" s="84"/>
      <c r="R464" s="103"/>
    </row>
    <row r="465" spans="1:18" ht="37.15" hidden="1" customHeight="1">
      <c r="A465" s="90" t="s">
        <v>1538</v>
      </c>
      <c r="B465" s="74" t="s">
        <v>38</v>
      </c>
      <c r="C465" s="75"/>
      <c r="D465" s="76" t="s">
        <v>39</v>
      </c>
      <c r="E465" s="77">
        <v>44595</v>
      </c>
      <c r="F465" s="77">
        <v>44623</v>
      </c>
      <c r="G465" s="74" t="s">
        <v>108</v>
      </c>
      <c r="H465" s="74" t="s">
        <v>1539</v>
      </c>
      <c r="I465" s="74"/>
      <c r="J465" s="74" t="s">
        <v>1540</v>
      </c>
      <c r="K465" s="74" t="s">
        <v>1541</v>
      </c>
      <c r="L465" s="78" t="s">
        <v>1542</v>
      </c>
      <c r="M465" s="79"/>
      <c r="N465" s="76">
        <v>3</v>
      </c>
      <c r="O465" s="95"/>
      <c r="P465" s="80"/>
      <c r="Q465" s="76" t="s">
        <v>45</v>
      </c>
      <c r="R465" s="100">
        <v>44642</v>
      </c>
    </row>
    <row r="466" spans="1:18" ht="37.15" customHeight="1">
      <c r="A466" s="89" t="s">
        <v>1543</v>
      </c>
      <c r="B466" s="82" t="s">
        <v>53</v>
      </c>
      <c r="C466" s="83"/>
      <c r="D466" s="84" t="s">
        <v>39</v>
      </c>
      <c r="E466" s="85">
        <v>44600</v>
      </c>
      <c r="F466" s="85">
        <v>44659</v>
      </c>
      <c r="G466" s="82" t="s">
        <v>71</v>
      </c>
      <c r="H466" s="84" t="s">
        <v>1544</v>
      </c>
      <c r="I466" s="84"/>
      <c r="J466" s="82" t="s">
        <v>56</v>
      </c>
      <c r="K466" s="82">
        <v>953128</v>
      </c>
      <c r="L466" s="121" t="s">
        <v>1545</v>
      </c>
      <c r="M466" s="79"/>
      <c r="N466" s="84">
        <v>2</v>
      </c>
      <c r="O466" s="95"/>
      <c r="P466" s="80"/>
      <c r="Q466" s="84" t="s">
        <v>776</v>
      </c>
      <c r="R466" s="103"/>
    </row>
    <row r="467" spans="1:18" ht="37.15" customHeight="1">
      <c r="A467" s="90" t="s">
        <v>1546</v>
      </c>
      <c r="B467" s="74" t="s">
        <v>53</v>
      </c>
      <c r="C467" s="75"/>
      <c r="D467" s="76" t="s">
        <v>39</v>
      </c>
      <c r="E467" s="77">
        <v>44601</v>
      </c>
      <c r="F467" s="77">
        <v>44629</v>
      </c>
      <c r="G467" s="74" t="s">
        <v>71</v>
      </c>
      <c r="H467" s="74" t="s">
        <v>1351</v>
      </c>
      <c r="I467" s="74"/>
      <c r="J467" s="74" t="s">
        <v>1547</v>
      </c>
      <c r="K467" s="76">
        <v>510382</v>
      </c>
      <c r="L467" s="78" t="s">
        <v>1548</v>
      </c>
      <c r="M467" s="79"/>
      <c r="N467" s="76">
        <v>2</v>
      </c>
      <c r="O467" s="95"/>
      <c r="P467" s="80"/>
      <c r="Q467" s="76"/>
      <c r="R467" s="104"/>
    </row>
    <row r="468" spans="1:18" ht="37.15" hidden="1" customHeight="1">
      <c r="A468" s="89" t="s">
        <v>1549</v>
      </c>
      <c r="B468" s="82" t="s">
        <v>47</v>
      </c>
      <c r="C468" s="83"/>
      <c r="D468" s="84" t="s">
        <v>117</v>
      </c>
      <c r="E468" s="85">
        <v>44606</v>
      </c>
      <c r="F468" s="85">
        <v>44634</v>
      </c>
      <c r="G468" s="82" t="s">
        <v>71</v>
      </c>
      <c r="H468" s="82" t="s">
        <v>1504</v>
      </c>
      <c r="I468" s="82"/>
      <c r="J468" s="82" t="s">
        <v>1550</v>
      </c>
      <c r="K468" s="82" t="s">
        <v>1551</v>
      </c>
      <c r="L468" s="86" t="s">
        <v>1552</v>
      </c>
      <c r="M468" s="79"/>
      <c r="N468" s="84">
        <v>2</v>
      </c>
      <c r="O468" s="95"/>
      <c r="P468" s="80"/>
      <c r="Q468" s="84" t="s">
        <v>45</v>
      </c>
      <c r="R468" s="101">
        <v>44634</v>
      </c>
    </row>
    <row r="469" spans="1:18" ht="37.15" hidden="1" customHeight="1">
      <c r="A469" s="90" t="s">
        <v>1553</v>
      </c>
      <c r="B469" s="74" t="s">
        <v>38</v>
      </c>
      <c r="C469" s="75"/>
      <c r="D469" s="76" t="s">
        <v>117</v>
      </c>
      <c r="E469" s="77">
        <v>44608</v>
      </c>
      <c r="F469" s="77">
        <v>44636</v>
      </c>
      <c r="G469" s="74" t="s">
        <v>1554</v>
      </c>
      <c r="H469" s="74" t="s">
        <v>1555</v>
      </c>
      <c r="I469" s="74"/>
      <c r="J469" s="74" t="s">
        <v>253</v>
      </c>
      <c r="K469" s="74" t="s">
        <v>1556</v>
      </c>
      <c r="L469" s="78" t="s">
        <v>1557</v>
      </c>
      <c r="M469" s="79"/>
      <c r="N469" s="76">
        <v>3</v>
      </c>
      <c r="O469" s="95"/>
      <c r="P469" s="80"/>
      <c r="Q469" s="76" t="s">
        <v>776</v>
      </c>
      <c r="R469" s="100">
        <v>44621</v>
      </c>
    </row>
    <row r="470" spans="1:18" ht="37.15" hidden="1" customHeight="1">
      <c r="A470" s="89" t="s">
        <v>1558</v>
      </c>
      <c r="B470" s="82" t="s">
        <v>47</v>
      </c>
      <c r="C470" s="83"/>
      <c r="D470" s="84" t="s">
        <v>39</v>
      </c>
      <c r="E470" s="85">
        <v>44608</v>
      </c>
      <c r="F470" s="85">
        <v>44636</v>
      </c>
      <c r="G470" s="82" t="s">
        <v>71</v>
      </c>
      <c r="H470" s="82" t="s">
        <v>1504</v>
      </c>
      <c r="I470" s="82"/>
      <c r="J470" s="82" t="s">
        <v>56</v>
      </c>
      <c r="K470" s="82" t="s">
        <v>1559</v>
      </c>
      <c r="L470" s="86" t="s">
        <v>1560</v>
      </c>
      <c r="M470" s="79"/>
      <c r="N470" s="84">
        <v>3</v>
      </c>
      <c r="O470" s="95"/>
      <c r="P470" s="80"/>
      <c r="Q470" s="84" t="s">
        <v>776</v>
      </c>
      <c r="R470" s="101">
        <v>44635</v>
      </c>
    </row>
    <row r="471" spans="1:18" ht="37.15" customHeight="1">
      <c r="A471" s="90" t="s">
        <v>1561</v>
      </c>
      <c r="B471" s="74" t="s">
        <v>53</v>
      </c>
      <c r="C471" s="75"/>
      <c r="D471" s="76" t="s">
        <v>39</v>
      </c>
      <c r="E471" s="77">
        <v>44621</v>
      </c>
      <c r="F471" s="77">
        <v>44652</v>
      </c>
      <c r="G471" s="74" t="s">
        <v>71</v>
      </c>
      <c r="H471" s="74" t="s">
        <v>1562</v>
      </c>
      <c r="I471" s="74"/>
      <c r="J471" s="74" t="s">
        <v>56</v>
      </c>
      <c r="K471" s="74" t="s">
        <v>1563</v>
      </c>
      <c r="L471" s="78" t="s">
        <v>1564</v>
      </c>
      <c r="M471" s="79"/>
      <c r="N471" s="76">
        <v>3</v>
      </c>
      <c r="O471" s="95"/>
      <c r="P471" s="80"/>
      <c r="Q471" s="76"/>
      <c r="R471" s="104"/>
    </row>
    <row r="472" spans="1:18" ht="37.15" customHeight="1">
      <c r="A472" s="89" t="s">
        <v>1565</v>
      </c>
      <c r="B472" s="82" t="s">
        <v>53</v>
      </c>
      <c r="C472" s="83"/>
      <c r="D472" s="84" t="s">
        <v>39</v>
      </c>
      <c r="E472" s="85">
        <v>44621</v>
      </c>
      <c r="F472" s="85">
        <v>44655</v>
      </c>
      <c r="G472" s="82" t="s">
        <v>71</v>
      </c>
      <c r="H472" s="82" t="s">
        <v>878</v>
      </c>
      <c r="I472" s="82"/>
      <c r="J472" s="82" t="s">
        <v>56</v>
      </c>
      <c r="K472" s="82" t="s">
        <v>1566</v>
      </c>
      <c r="L472" s="86" t="s">
        <v>1567</v>
      </c>
      <c r="M472" s="79"/>
      <c r="N472" s="84">
        <v>3</v>
      </c>
      <c r="O472" s="95"/>
      <c r="P472" s="80"/>
      <c r="Q472" s="84"/>
      <c r="R472" s="101"/>
    </row>
    <row r="473" spans="1:18" ht="37.15" hidden="1" customHeight="1">
      <c r="A473" s="90" t="s">
        <v>1568</v>
      </c>
      <c r="B473" s="74" t="s">
        <v>47</v>
      </c>
      <c r="C473" s="75"/>
      <c r="D473" s="76" t="s">
        <v>39</v>
      </c>
      <c r="E473" s="77">
        <v>44622</v>
      </c>
      <c r="F473" s="77" t="s">
        <v>1569</v>
      </c>
      <c r="G473" s="74" t="s">
        <v>71</v>
      </c>
      <c r="H473" s="74" t="s">
        <v>1161</v>
      </c>
      <c r="I473" s="74"/>
      <c r="J473" s="74" t="s">
        <v>1570</v>
      </c>
      <c r="K473" s="74" t="s">
        <v>1571</v>
      </c>
      <c r="L473" s="78" t="s">
        <v>1572</v>
      </c>
      <c r="M473" s="79"/>
      <c r="N473" s="76">
        <v>3</v>
      </c>
      <c r="O473" s="95"/>
      <c r="P473" s="80"/>
      <c r="Q473" s="76" t="s">
        <v>776</v>
      </c>
      <c r="R473" s="100">
        <v>44636</v>
      </c>
    </row>
    <row r="474" spans="1:18" ht="45" hidden="1">
      <c r="A474" s="89" t="s">
        <v>1573</v>
      </c>
      <c r="B474" s="82" t="s">
        <v>38</v>
      </c>
      <c r="C474" s="83"/>
      <c r="D474" s="84" t="s">
        <v>117</v>
      </c>
      <c r="E474" s="85">
        <v>44628</v>
      </c>
      <c r="F474" s="85">
        <v>44659</v>
      </c>
      <c r="G474" s="82" t="s">
        <v>493</v>
      </c>
      <c r="H474" s="82" t="s">
        <v>1574</v>
      </c>
      <c r="I474" s="82"/>
      <c r="J474" s="82" t="s">
        <v>1295</v>
      </c>
      <c r="K474" s="82" t="s">
        <v>1575</v>
      </c>
      <c r="L474" s="86" t="s">
        <v>1576</v>
      </c>
      <c r="M474" s="79"/>
      <c r="N474" s="84">
        <v>3</v>
      </c>
      <c r="O474" s="95"/>
      <c r="P474" s="80"/>
      <c r="Q474" s="84" t="s">
        <v>776</v>
      </c>
      <c r="R474" s="101">
        <v>44645</v>
      </c>
    </row>
    <row r="475" spans="1:18" ht="37.15" hidden="1" customHeight="1">
      <c r="A475" s="90" t="s">
        <v>1577</v>
      </c>
      <c r="B475" s="74" t="s">
        <v>47</v>
      </c>
      <c r="C475" s="75"/>
      <c r="D475" s="76" t="s">
        <v>117</v>
      </c>
      <c r="E475" s="77">
        <v>44623</v>
      </c>
      <c r="F475" s="77">
        <v>44654</v>
      </c>
      <c r="G475" s="74" t="s">
        <v>71</v>
      </c>
      <c r="H475" s="74" t="s">
        <v>1578</v>
      </c>
      <c r="I475" s="74"/>
      <c r="J475" s="74" t="s">
        <v>1579</v>
      </c>
      <c r="K475" s="74" t="s">
        <v>43</v>
      </c>
      <c r="L475" s="78" t="s">
        <v>1580</v>
      </c>
      <c r="M475" s="79"/>
      <c r="N475" s="76">
        <v>3</v>
      </c>
      <c r="O475" s="95"/>
      <c r="P475" s="80"/>
      <c r="Q475" s="76" t="s">
        <v>776</v>
      </c>
      <c r="R475" s="100">
        <v>44630</v>
      </c>
    </row>
    <row r="476" spans="1:18" ht="37.15" customHeight="1">
      <c r="A476" s="89" t="s">
        <v>1581</v>
      </c>
      <c r="B476" s="82" t="s">
        <v>53</v>
      </c>
      <c r="C476" s="83"/>
      <c r="D476" s="84" t="s">
        <v>39</v>
      </c>
      <c r="E476" s="85">
        <v>44627</v>
      </c>
      <c r="F476" s="85">
        <v>44992</v>
      </c>
      <c r="G476" s="82" t="s">
        <v>71</v>
      </c>
      <c r="H476" s="82" t="s">
        <v>1582</v>
      </c>
      <c r="I476" s="82"/>
      <c r="J476" s="82" t="s">
        <v>809</v>
      </c>
      <c r="K476" s="82" t="s">
        <v>42</v>
      </c>
      <c r="L476" s="86" t="s">
        <v>1583</v>
      </c>
      <c r="M476" s="79"/>
      <c r="N476" s="84"/>
      <c r="O476" s="95"/>
      <c r="P476" s="80"/>
      <c r="Q476" s="84"/>
      <c r="R476" s="101"/>
    </row>
    <row r="477" spans="1:18" ht="37.15" hidden="1" customHeight="1">
      <c r="A477" s="90" t="s">
        <v>1584</v>
      </c>
      <c r="B477" s="74" t="s">
        <v>38</v>
      </c>
      <c r="C477" s="75"/>
      <c r="D477" s="76" t="s">
        <v>39</v>
      </c>
      <c r="E477" s="77">
        <v>44628</v>
      </c>
      <c r="F477" s="77">
        <v>44659</v>
      </c>
      <c r="G477" s="74" t="s">
        <v>108</v>
      </c>
      <c r="H477" s="74" t="s">
        <v>1585</v>
      </c>
      <c r="I477" s="74"/>
      <c r="J477" s="74" t="s">
        <v>56</v>
      </c>
      <c r="K477" s="74" t="s">
        <v>1586</v>
      </c>
      <c r="L477" s="78" t="s">
        <v>1587</v>
      </c>
      <c r="M477" s="79"/>
      <c r="N477" s="76">
        <v>3</v>
      </c>
      <c r="O477" s="95"/>
      <c r="P477" s="80"/>
      <c r="Q477" s="76" t="s">
        <v>776</v>
      </c>
      <c r="R477" s="100">
        <v>44644</v>
      </c>
    </row>
    <row r="478" spans="1:18" ht="30" hidden="1">
      <c r="A478" s="21" t="s">
        <v>1588</v>
      </c>
      <c r="B478" s="82" t="s">
        <v>47</v>
      </c>
      <c r="C478" s="83"/>
      <c r="D478" s="84"/>
      <c r="E478" s="85"/>
      <c r="F478" s="85"/>
      <c r="G478" s="82" t="s">
        <v>71</v>
      </c>
      <c r="H478" s="91" t="s">
        <v>1589</v>
      </c>
      <c r="I478" s="91"/>
      <c r="J478" s="82" t="s">
        <v>56</v>
      </c>
      <c r="K478" s="82" t="s">
        <v>1590</v>
      </c>
      <c r="L478" s="86" t="s">
        <v>1591</v>
      </c>
      <c r="M478" s="79"/>
      <c r="N478" s="84"/>
      <c r="O478" s="95"/>
      <c r="P478" s="80"/>
      <c r="Q478" s="84" t="s">
        <v>42</v>
      </c>
      <c r="R478" s="103" t="s">
        <v>42</v>
      </c>
    </row>
    <row r="479" spans="1:18" ht="45" hidden="1">
      <c r="A479" s="22" t="s">
        <v>1592</v>
      </c>
      <c r="B479" s="74" t="s">
        <v>38</v>
      </c>
      <c r="C479" s="75"/>
      <c r="D479" s="76"/>
      <c r="E479" s="77"/>
      <c r="F479" s="77"/>
      <c r="G479" s="74" t="s">
        <v>71</v>
      </c>
      <c r="H479" s="74" t="s">
        <v>1593</v>
      </c>
      <c r="I479" s="74"/>
      <c r="J479" s="74" t="s">
        <v>1594</v>
      </c>
      <c r="K479" s="74" t="s">
        <v>1595</v>
      </c>
      <c r="L479" s="78" t="s">
        <v>1596</v>
      </c>
      <c r="M479" s="79"/>
      <c r="N479" s="76"/>
      <c r="O479" s="95"/>
      <c r="P479" s="80"/>
      <c r="Q479" s="76"/>
      <c r="R479" s="100" t="s">
        <v>42</v>
      </c>
    </row>
    <row r="480" spans="1:18" ht="37.15" customHeight="1">
      <c r="A480" s="89" t="s">
        <v>1597</v>
      </c>
      <c r="B480" s="82" t="s">
        <v>53</v>
      </c>
      <c r="C480" s="83"/>
      <c r="D480" s="84" t="s">
        <v>39</v>
      </c>
      <c r="E480" s="85">
        <v>44631</v>
      </c>
      <c r="F480" s="85">
        <v>44692</v>
      </c>
      <c r="G480" s="82" t="s">
        <v>71</v>
      </c>
      <c r="H480" s="82" t="s">
        <v>1598</v>
      </c>
      <c r="I480" s="82"/>
      <c r="J480" s="82" t="s">
        <v>56</v>
      </c>
      <c r="K480" s="82" t="s">
        <v>1599</v>
      </c>
      <c r="L480" s="86" t="s">
        <v>1600</v>
      </c>
      <c r="M480" s="79"/>
      <c r="N480" s="84">
        <v>2</v>
      </c>
      <c r="O480" s="95"/>
      <c r="P480" s="80"/>
      <c r="Q480" s="84"/>
      <c r="R480" s="103"/>
    </row>
    <row r="481" spans="1:20" ht="37.15" customHeight="1">
      <c r="A481" s="90" t="s">
        <v>1601</v>
      </c>
      <c r="B481" s="74" t="s">
        <v>53</v>
      </c>
      <c r="C481" s="75"/>
      <c r="D481" s="76" t="s">
        <v>39</v>
      </c>
      <c r="E481" s="77">
        <v>44631</v>
      </c>
      <c r="F481" s="77">
        <v>44692</v>
      </c>
      <c r="G481" s="74" t="s">
        <v>71</v>
      </c>
      <c r="H481" s="74" t="s">
        <v>1598</v>
      </c>
      <c r="I481" s="74"/>
      <c r="J481" s="74" t="s">
        <v>316</v>
      </c>
      <c r="K481" s="74" t="s">
        <v>1602</v>
      </c>
      <c r="L481" s="78" t="s">
        <v>1603</v>
      </c>
      <c r="M481" s="79"/>
      <c r="N481" s="76">
        <v>2</v>
      </c>
      <c r="O481" s="95"/>
      <c r="P481" s="80"/>
      <c r="Q481" s="76"/>
      <c r="R481" s="104"/>
    </row>
    <row r="482" spans="1:20" ht="37.15" customHeight="1">
      <c r="A482" s="89" t="s">
        <v>1604</v>
      </c>
      <c r="B482" s="82" t="s">
        <v>53</v>
      </c>
      <c r="C482" s="83"/>
      <c r="D482" s="84" t="s">
        <v>39</v>
      </c>
      <c r="E482" s="85">
        <v>44635</v>
      </c>
      <c r="F482" s="85">
        <v>44696</v>
      </c>
      <c r="G482" s="82" t="s">
        <v>71</v>
      </c>
      <c r="H482" s="82" t="s">
        <v>1605</v>
      </c>
      <c r="I482" s="82"/>
      <c r="J482" s="82" t="s">
        <v>56</v>
      </c>
      <c r="K482" s="82">
        <v>113317</v>
      </c>
      <c r="L482" s="86" t="s">
        <v>1606</v>
      </c>
      <c r="M482" s="79"/>
      <c r="N482" s="84">
        <v>1</v>
      </c>
      <c r="O482" s="95"/>
      <c r="P482" s="80"/>
      <c r="Q482" s="84"/>
      <c r="R482" s="101"/>
    </row>
    <row r="483" spans="1:20" ht="37.15" hidden="1" customHeight="1">
      <c r="A483" s="90" t="s">
        <v>1607</v>
      </c>
      <c r="B483" s="74" t="s">
        <v>38</v>
      </c>
      <c r="C483" s="75"/>
      <c r="D483" s="76" t="s">
        <v>39</v>
      </c>
      <c r="E483" s="77">
        <v>44636</v>
      </c>
      <c r="F483" s="77">
        <v>44667</v>
      </c>
      <c r="G483" s="74" t="s">
        <v>108</v>
      </c>
      <c r="H483" s="74" t="s">
        <v>1608</v>
      </c>
      <c r="I483" s="74"/>
      <c r="J483" s="74" t="s">
        <v>56</v>
      </c>
      <c r="K483" s="74" t="s">
        <v>1609</v>
      </c>
      <c r="L483" s="122" t="s">
        <v>1610</v>
      </c>
      <c r="M483" s="79"/>
      <c r="N483" s="76">
        <v>2</v>
      </c>
      <c r="O483" s="95"/>
      <c r="P483" s="80"/>
      <c r="Q483" s="76" t="s">
        <v>776</v>
      </c>
      <c r="R483" s="100">
        <v>44642</v>
      </c>
    </row>
    <row r="484" spans="1:20" ht="45" hidden="1">
      <c r="A484" s="21" t="s">
        <v>1611</v>
      </c>
      <c r="B484" s="82" t="s">
        <v>38</v>
      </c>
      <c r="C484" s="83"/>
      <c r="D484" s="84"/>
      <c r="E484" s="85"/>
      <c r="F484" s="85"/>
      <c r="G484" s="82" t="s">
        <v>71</v>
      </c>
      <c r="H484" s="82" t="s">
        <v>1612</v>
      </c>
      <c r="I484" s="82"/>
      <c r="J484" s="82" t="s">
        <v>1613</v>
      </c>
      <c r="K484" s="82" t="s">
        <v>1614</v>
      </c>
      <c r="L484" s="86" t="s">
        <v>1615</v>
      </c>
      <c r="M484" s="79"/>
      <c r="N484" s="84"/>
      <c r="O484" s="95"/>
      <c r="P484" s="80"/>
      <c r="Q484" s="84"/>
      <c r="R484" s="101" t="s">
        <v>42</v>
      </c>
      <c r="S484" s="123"/>
    </row>
    <row r="485" spans="1:20" ht="30" hidden="1">
      <c r="A485" s="90" t="s">
        <v>1616</v>
      </c>
      <c r="B485" s="74" t="s">
        <v>47</v>
      </c>
      <c r="C485" s="75"/>
      <c r="D485" s="76" t="s">
        <v>117</v>
      </c>
      <c r="E485" s="77">
        <v>44638</v>
      </c>
      <c r="F485" s="77">
        <v>44669</v>
      </c>
      <c r="G485" s="74" t="s">
        <v>71</v>
      </c>
      <c r="H485" s="74" t="s">
        <v>1161</v>
      </c>
      <c r="I485" s="74"/>
      <c r="J485" s="74" t="s">
        <v>102</v>
      </c>
      <c r="K485" s="74" t="s">
        <v>886</v>
      </c>
      <c r="L485" s="78" t="s">
        <v>1617</v>
      </c>
      <c r="M485" s="79"/>
      <c r="N485" s="76">
        <v>3</v>
      </c>
      <c r="O485" s="95"/>
      <c r="P485" s="80"/>
      <c r="Q485" s="76" t="s">
        <v>776</v>
      </c>
      <c r="R485" s="100">
        <v>44657</v>
      </c>
    </row>
    <row r="486" spans="1:20" ht="37.15" hidden="1" customHeight="1">
      <c r="A486" s="89" t="s">
        <v>1618</v>
      </c>
      <c r="B486" s="82" t="s">
        <v>38</v>
      </c>
      <c r="C486" s="83"/>
      <c r="D486" s="84" t="s">
        <v>117</v>
      </c>
      <c r="E486" s="85">
        <v>44644</v>
      </c>
      <c r="F486" s="85">
        <v>44675</v>
      </c>
      <c r="G486" s="82" t="s">
        <v>108</v>
      </c>
      <c r="H486" s="84" t="s">
        <v>1619</v>
      </c>
      <c r="I486" s="84"/>
      <c r="J486" s="82" t="s">
        <v>1620</v>
      </c>
      <c r="K486" s="82" t="s">
        <v>1621</v>
      </c>
      <c r="L486" s="86" t="s">
        <v>1622</v>
      </c>
      <c r="M486" s="79"/>
      <c r="N486" s="84">
        <v>3</v>
      </c>
      <c r="O486" s="95"/>
      <c r="P486" s="80"/>
      <c r="Q486" s="84" t="s">
        <v>776</v>
      </c>
      <c r="R486" s="124" t="s">
        <v>776</v>
      </c>
    </row>
    <row r="487" spans="1:20" ht="37.15" customHeight="1">
      <c r="A487" s="90" t="s">
        <v>1623</v>
      </c>
      <c r="B487" s="74" t="s">
        <v>53</v>
      </c>
      <c r="C487" s="75"/>
      <c r="D487" s="76" t="s">
        <v>39</v>
      </c>
      <c r="E487" s="77">
        <v>44648</v>
      </c>
      <c r="F487" s="77">
        <v>44679</v>
      </c>
      <c r="G487" s="74" t="s">
        <v>71</v>
      </c>
      <c r="H487" s="74" t="s">
        <v>1222</v>
      </c>
      <c r="I487" s="74"/>
      <c r="J487" s="74" t="s">
        <v>56</v>
      </c>
      <c r="K487" s="74" t="s">
        <v>42</v>
      </c>
      <c r="L487" s="78" t="s">
        <v>1624</v>
      </c>
      <c r="M487" s="79"/>
      <c r="N487" s="76">
        <v>2</v>
      </c>
      <c r="O487" s="95"/>
      <c r="P487" s="80"/>
      <c r="Q487" s="76"/>
      <c r="R487" s="100"/>
    </row>
    <row r="488" spans="1:20" ht="37.15" hidden="1" customHeight="1">
      <c r="A488" s="89" t="s">
        <v>1625</v>
      </c>
      <c r="B488" s="82" t="s">
        <v>38</v>
      </c>
      <c r="C488" s="83"/>
      <c r="D488" s="84" t="s">
        <v>39</v>
      </c>
      <c r="E488" s="85">
        <v>44650</v>
      </c>
      <c r="F488" s="85">
        <v>44681</v>
      </c>
      <c r="G488" s="82" t="s">
        <v>71</v>
      </c>
      <c r="H488" s="82" t="s">
        <v>1626</v>
      </c>
      <c r="I488" s="82"/>
      <c r="J488" s="82" t="s">
        <v>201</v>
      </c>
      <c r="K488" s="82" t="s">
        <v>386</v>
      </c>
      <c r="L488" s="86" t="s">
        <v>1627</v>
      </c>
      <c r="M488" s="79"/>
      <c r="N488" s="84">
        <v>3</v>
      </c>
      <c r="O488" s="95"/>
      <c r="P488" s="80"/>
      <c r="Q488" s="84" t="s">
        <v>776</v>
      </c>
      <c r="R488" s="101">
        <v>44694</v>
      </c>
    </row>
    <row r="489" spans="1:20" ht="37.15" hidden="1" customHeight="1">
      <c r="A489" s="90" t="s">
        <v>1628</v>
      </c>
      <c r="B489" s="74" t="s">
        <v>38</v>
      </c>
      <c r="C489" s="75"/>
      <c r="D489" s="76" t="s">
        <v>117</v>
      </c>
      <c r="E489" s="77">
        <v>44650</v>
      </c>
      <c r="F489" s="77">
        <f>E489+30</f>
        <v>44680</v>
      </c>
      <c r="G489" s="74" t="s">
        <v>108</v>
      </c>
      <c r="H489" s="76" t="s">
        <v>1629</v>
      </c>
      <c r="I489" s="76"/>
      <c r="J489" s="74" t="s">
        <v>1630</v>
      </c>
      <c r="K489" s="74" t="s">
        <v>1631</v>
      </c>
      <c r="L489" s="78" t="s">
        <v>1632</v>
      </c>
      <c r="M489" s="79"/>
      <c r="N489" s="76">
        <v>3</v>
      </c>
      <c r="O489" s="95"/>
      <c r="P489" s="80"/>
      <c r="Q489" s="76" t="s">
        <v>776</v>
      </c>
      <c r="R489" s="100">
        <v>44690</v>
      </c>
    </row>
    <row r="490" spans="1:20" ht="37.15" hidden="1" customHeight="1">
      <c r="A490" s="89" t="s">
        <v>1633</v>
      </c>
      <c r="B490" s="82" t="s">
        <v>47</v>
      </c>
      <c r="C490" s="83"/>
      <c r="D490" s="84" t="s">
        <v>39</v>
      </c>
      <c r="E490" s="85">
        <v>44654</v>
      </c>
      <c r="F490" s="85">
        <v>44684</v>
      </c>
      <c r="G490" s="82" t="s">
        <v>71</v>
      </c>
      <c r="H490" s="82" t="s">
        <v>1504</v>
      </c>
      <c r="I490" s="82"/>
      <c r="J490" s="82" t="s">
        <v>711</v>
      </c>
      <c r="K490" s="82" t="s">
        <v>1634</v>
      </c>
      <c r="L490" s="86" t="s">
        <v>1635</v>
      </c>
      <c r="M490" s="79"/>
      <c r="N490" s="84">
        <v>3</v>
      </c>
      <c r="O490" s="95"/>
      <c r="P490" s="80"/>
      <c r="Q490" s="84" t="s">
        <v>776</v>
      </c>
      <c r="R490" s="101">
        <v>44657</v>
      </c>
    </row>
    <row r="491" spans="1:20" ht="37.15" hidden="1" customHeight="1">
      <c r="A491" s="90" t="s">
        <v>1636</v>
      </c>
      <c r="B491" s="74" t="s">
        <v>38</v>
      </c>
      <c r="C491" s="75"/>
      <c r="D491" s="76" t="s">
        <v>39</v>
      </c>
      <c r="E491" s="77">
        <v>44656</v>
      </c>
      <c r="F491" s="77">
        <v>44686</v>
      </c>
      <c r="G491" s="74" t="s">
        <v>108</v>
      </c>
      <c r="H491" s="74" t="s">
        <v>1637</v>
      </c>
      <c r="I491" s="74"/>
      <c r="J491" s="74" t="s">
        <v>1638</v>
      </c>
      <c r="K491" s="74" t="s">
        <v>1639</v>
      </c>
      <c r="L491" s="78" t="s">
        <v>1640</v>
      </c>
      <c r="M491" s="79"/>
      <c r="N491" s="76">
        <v>3</v>
      </c>
      <c r="O491" s="95"/>
      <c r="P491" s="80"/>
      <c r="Q491" s="76" t="s">
        <v>776</v>
      </c>
      <c r="R491" s="100">
        <v>44700</v>
      </c>
    </row>
    <row r="492" spans="1:20" ht="37.15" customHeight="1">
      <c r="A492" s="89" t="s">
        <v>1641</v>
      </c>
      <c r="B492" s="82" t="s">
        <v>53</v>
      </c>
      <c r="C492" s="83"/>
      <c r="D492" s="84" t="s">
        <v>39</v>
      </c>
      <c r="E492" s="85">
        <v>44663</v>
      </c>
      <c r="F492" s="85">
        <v>44693</v>
      </c>
      <c r="G492" s="82" t="s">
        <v>71</v>
      </c>
      <c r="H492" s="91" t="s">
        <v>1642</v>
      </c>
      <c r="I492" s="91"/>
      <c r="J492" s="82" t="s">
        <v>56</v>
      </c>
      <c r="K492" s="82">
        <v>510764</v>
      </c>
      <c r="L492" s="86" t="s">
        <v>1643</v>
      </c>
      <c r="M492" s="79"/>
      <c r="N492" s="84">
        <v>3</v>
      </c>
      <c r="O492" s="95"/>
      <c r="P492" s="80"/>
      <c r="Q492" s="84"/>
      <c r="R492" s="101"/>
    </row>
    <row r="493" spans="1:20" ht="37.15" hidden="1" customHeight="1">
      <c r="A493" s="90" t="s">
        <v>1644</v>
      </c>
      <c r="B493" s="74" t="s">
        <v>38</v>
      </c>
      <c r="C493" s="75"/>
      <c r="D493" s="76" t="s">
        <v>117</v>
      </c>
      <c r="E493" s="77">
        <v>44680</v>
      </c>
      <c r="F493" s="77">
        <v>44710</v>
      </c>
      <c r="G493" s="74" t="s">
        <v>493</v>
      </c>
      <c r="H493" s="74" t="s">
        <v>493</v>
      </c>
      <c r="I493" s="74"/>
      <c r="J493" s="74" t="s">
        <v>56</v>
      </c>
      <c r="K493" s="74" t="s">
        <v>1645</v>
      </c>
      <c r="L493" s="78" t="s">
        <v>1646</v>
      </c>
      <c r="M493" s="79"/>
      <c r="N493" s="76">
        <v>3</v>
      </c>
      <c r="O493" s="95"/>
      <c r="P493" s="80"/>
      <c r="Q493" s="76" t="s">
        <v>776</v>
      </c>
      <c r="R493" s="100">
        <v>44693</v>
      </c>
      <c r="T493" s="123"/>
    </row>
    <row r="494" spans="1:20" ht="37.15" hidden="1" customHeight="1">
      <c r="A494" s="89" t="s">
        <v>1647</v>
      </c>
      <c r="B494" s="82" t="s">
        <v>47</v>
      </c>
      <c r="C494" s="83"/>
      <c r="D494" s="84" t="s">
        <v>39</v>
      </c>
      <c r="E494" s="85">
        <v>44683</v>
      </c>
      <c r="F494" s="85">
        <v>44714</v>
      </c>
      <c r="G494" s="82" t="s">
        <v>71</v>
      </c>
      <c r="H494" s="82" t="s">
        <v>1161</v>
      </c>
      <c r="I494" s="82"/>
      <c r="J494" s="82" t="s">
        <v>56</v>
      </c>
      <c r="K494" s="82" t="s">
        <v>1648</v>
      </c>
      <c r="L494" s="86" t="s">
        <v>1649</v>
      </c>
      <c r="M494" s="79"/>
      <c r="N494" s="84">
        <v>3</v>
      </c>
      <c r="O494" s="95"/>
      <c r="P494" s="80"/>
      <c r="Q494" s="84" t="s">
        <v>776</v>
      </c>
      <c r="R494" s="101">
        <v>44684</v>
      </c>
    </row>
    <row r="495" spans="1:20" ht="37.15" hidden="1" customHeight="1">
      <c r="A495" s="90" t="s">
        <v>1650</v>
      </c>
      <c r="B495" s="74" t="s">
        <v>47</v>
      </c>
      <c r="C495" s="75"/>
      <c r="D495" s="76" t="s">
        <v>39</v>
      </c>
      <c r="E495" s="77">
        <v>44687</v>
      </c>
      <c r="F495" s="77">
        <v>44718</v>
      </c>
      <c r="G495" s="74" t="s">
        <v>493</v>
      </c>
      <c r="H495" s="74" t="s">
        <v>1141</v>
      </c>
      <c r="I495" s="74"/>
      <c r="J495" s="74" t="s">
        <v>1651</v>
      </c>
      <c r="K495" s="74" t="s">
        <v>1652</v>
      </c>
      <c r="L495" s="78" t="s">
        <v>1653</v>
      </c>
      <c r="M495" s="79"/>
      <c r="N495" s="76">
        <v>2</v>
      </c>
      <c r="O495" s="95"/>
      <c r="P495" s="80"/>
      <c r="Q495" s="76" t="s">
        <v>776</v>
      </c>
      <c r="R495" s="100">
        <v>44690</v>
      </c>
    </row>
    <row r="496" spans="1:20" ht="37.15" customHeight="1">
      <c r="A496" s="89" t="s">
        <v>1654</v>
      </c>
      <c r="B496" s="82" t="s">
        <v>53</v>
      </c>
      <c r="C496" s="83"/>
      <c r="D496" s="84" t="s">
        <v>39</v>
      </c>
      <c r="E496" s="85">
        <v>44690</v>
      </c>
      <c r="F496" s="85">
        <v>44721</v>
      </c>
      <c r="G496" s="82" t="s">
        <v>493</v>
      </c>
      <c r="H496" s="82" t="s">
        <v>1655</v>
      </c>
      <c r="I496" s="82"/>
      <c r="J496" s="82" t="s">
        <v>56</v>
      </c>
      <c r="K496" s="82" t="s">
        <v>42</v>
      </c>
      <c r="L496" s="86" t="s">
        <v>1656</v>
      </c>
      <c r="M496" s="79"/>
      <c r="N496" s="84">
        <v>2</v>
      </c>
      <c r="O496" s="95"/>
      <c r="P496" s="80"/>
      <c r="Q496" s="84" t="s">
        <v>776</v>
      </c>
      <c r="R496" s="101"/>
    </row>
    <row r="497" spans="1:19" ht="37.15" hidden="1" customHeight="1">
      <c r="A497" s="90" t="s">
        <v>1657</v>
      </c>
      <c r="B497" s="74" t="s">
        <v>38</v>
      </c>
      <c r="C497" s="75"/>
      <c r="D497" s="76" t="s">
        <v>39</v>
      </c>
      <c r="E497" s="77">
        <v>44690</v>
      </c>
      <c r="F497" s="77">
        <v>44721</v>
      </c>
      <c r="G497" s="74" t="s">
        <v>108</v>
      </c>
      <c r="H497" s="74" t="s">
        <v>1658</v>
      </c>
      <c r="I497" s="74"/>
      <c r="J497" s="74" t="s">
        <v>56</v>
      </c>
      <c r="K497" s="74" t="s">
        <v>42</v>
      </c>
      <c r="L497" s="78" t="s">
        <v>1659</v>
      </c>
      <c r="M497" s="79"/>
      <c r="N497" s="76">
        <v>3</v>
      </c>
      <c r="O497" s="95"/>
      <c r="P497" s="80"/>
      <c r="Q497" s="76" t="s">
        <v>776</v>
      </c>
      <c r="R497" s="100">
        <v>44721</v>
      </c>
    </row>
    <row r="498" spans="1:19" ht="37.15" hidden="1" customHeight="1">
      <c r="A498" s="89" t="s">
        <v>1660</v>
      </c>
      <c r="B498" s="82" t="s">
        <v>38</v>
      </c>
      <c r="C498" s="83"/>
      <c r="D498" s="84" t="s">
        <v>39</v>
      </c>
      <c r="E498" s="85">
        <v>44691</v>
      </c>
      <c r="F498" s="85">
        <v>44722</v>
      </c>
      <c r="G498" s="82" t="s">
        <v>71</v>
      </c>
      <c r="H498" s="82" t="s">
        <v>1661</v>
      </c>
      <c r="I498" s="82"/>
      <c r="J498" s="82" t="s">
        <v>56</v>
      </c>
      <c r="K498" s="82" t="s">
        <v>1662</v>
      </c>
      <c r="L498" s="86" t="s">
        <v>1663</v>
      </c>
      <c r="M498" s="79"/>
      <c r="N498" s="84">
        <v>3</v>
      </c>
      <c r="O498" s="95"/>
      <c r="P498" s="80"/>
      <c r="Q498" s="84" t="s">
        <v>776</v>
      </c>
      <c r="R498" s="101">
        <v>44693</v>
      </c>
    </row>
    <row r="499" spans="1:19" ht="37.15" hidden="1" customHeight="1">
      <c r="A499" s="90" t="s">
        <v>1664</v>
      </c>
      <c r="B499" s="74" t="s">
        <v>38</v>
      </c>
      <c r="C499" s="75"/>
      <c r="D499" s="76" t="s">
        <v>39</v>
      </c>
      <c r="E499" s="77">
        <v>44693</v>
      </c>
      <c r="F499" s="77">
        <v>44724</v>
      </c>
      <c r="G499" s="74" t="s">
        <v>1665</v>
      </c>
      <c r="H499" s="74" t="s">
        <v>1666</v>
      </c>
      <c r="I499" s="74"/>
      <c r="J499" s="74" t="s">
        <v>56</v>
      </c>
      <c r="K499" s="74" t="s">
        <v>1667</v>
      </c>
      <c r="L499" s="78" t="s">
        <v>1668</v>
      </c>
      <c r="M499" s="79"/>
      <c r="N499" s="76">
        <v>3</v>
      </c>
      <c r="O499" s="95"/>
      <c r="P499" s="80"/>
      <c r="Q499" s="76" t="s">
        <v>776</v>
      </c>
      <c r="R499" s="100">
        <v>44721</v>
      </c>
    </row>
    <row r="500" spans="1:19" ht="37.15" hidden="1" customHeight="1">
      <c r="A500" s="89" t="s">
        <v>1669</v>
      </c>
      <c r="B500" s="82" t="s">
        <v>47</v>
      </c>
      <c r="C500" s="83"/>
      <c r="D500" s="84" t="s">
        <v>117</v>
      </c>
      <c r="E500" s="85">
        <v>44697</v>
      </c>
      <c r="F500" s="85">
        <v>44728</v>
      </c>
      <c r="G500" s="82" t="s">
        <v>71</v>
      </c>
      <c r="H500" s="82" t="s">
        <v>1432</v>
      </c>
      <c r="I500" s="82"/>
      <c r="J500" s="82" t="s">
        <v>56</v>
      </c>
      <c r="K500" s="82" t="s">
        <v>1670</v>
      </c>
      <c r="L500" s="86" t="s">
        <v>1671</v>
      </c>
      <c r="M500" s="79"/>
      <c r="N500" s="84">
        <v>3</v>
      </c>
      <c r="O500" s="95"/>
      <c r="P500" s="80"/>
      <c r="Q500" s="84" t="s">
        <v>776</v>
      </c>
      <c r="R500" s="101">
        <v>44700</v>
      </c>
    </row>
    <row r="501" spans="1:19" ht="37.15" customHeight="1">
      <c r="A501" s="90" t="s">
        <v>1672</v>
      </c>
      <c r="B501" s="74" t="s">
        <v>53</v>
      </c>
      <c r="C501" s="75"/>
      <c r="D501" s="76" t="s">
        <v>39</v>
      </c>
      <c r="E501" s="77">
        <v>44699</v>
      </c>
      <c r="F501" s="77">
        <v>44730</v>
      </c>
      <c r="G501" s="74" t="s">
        <v>71</v>
      </c>
      <c r="H501" s="92" t="s">
        <v>1519</v>
      </c>
      <c r="I501" s="92"/>
      <c r="J501" s="74" t="s">
        <v>56</v>
      </c>
      <c r="K501" s="74" t="s">
        <v>1673</v>
      </c>
      <c r="L501" s="78" t="s">
        <v>1674</v>
      </c>
      <c r="M501" s="79"/>
      <c r="N501" s="76">
        <v>3</v>
      </c>
      <c r="O501" s="95"/>
      <c r="P501" s="80"/>
      <c r="Q501" s="76"/>
      <c r="R501" s="100"/>
    </row>
    <row r="502" spans="1:19" ht="37.15" hidden="1" customHeight="1">
      <c r="A502" s="89" t="s">
        <v>1675</v>
      </c>
      <c r="B502" s="82" t="s">
        <v>47</v>
      </c>
      <c r="C502" s="83"/>
      <c r="D502" s="84" t="s">
        <v>117</v>
      </c>
      <c r="E502" s="85">
        <v>44700</v>
      </c>
      <c r="F502" s="85">
        <v>44731</v>
      </c>
      <c r="G502" s="82" t="s">
        <v>71</v>
      </c>
      <c r="H502" s="82" t="s">
        <v>1504</v>
      </c>
      <c r="I502" s="82"/>
      <c r="J502" s="82" t="s">
        <v>56</v>
      </c>
      <c r="K502" s="82" t="s">
        <v>42</v>
      </c>
      <c r="L502" s="86" t="s">
        <v>1676</v>
      </c>
      <c r="M502" s="79"/>
      <c r="N502" s="84">
        <v>3</v>
      </c>
      <c r="O502" s="95"/>
      <c r="P502" s="80"/>
      <c r="Q502" s="84" t="s">
        <v>776</v>
      </c>
      <c r="R502" s="101">
        <v>44700</v>
      </c>
    </row>
    <row r="503" spans="1:19" ht="37.15" customHeight="1">
      <c r="A503" s="90" t="s">
        <v>1677</v>
      </c>
      <c r="B503" s="74" t="s">
        <v>53</v>
      </c>
      <c r="C503" s="75"/>
      <c r="D503" s="76" t="s">
        <v>39</v>
      </c>
      <c r="E503" s="77">
        <v>44707</v>
      </c>
      <c r="F503" s="77">
        <v>44738</v>
      </c>
      <c r="G503" s="74" t="s">
        <v>71</v>
      </c>
      <c r="H503" s="74" t="s">
        <v>1678</v>
      </c>
      <c r="I503" s="74"/>
      <c r="J503" s="74" t="s">
        <v>56</v>
      </c>
      <c r="K503" s="74" t="s">
        <v>42</v>
      </c>
      <c r="L503" s="78" t="s">
        <v>1679</v>
      </c>
      <c r="M503" s="79"/>
      <c r="N503" s="76">
        <v>3</v>
      </c>
      <c r="O503" s="95"/>
      <c r="P503" s="80"/>
      <c r="Q503" s="76"/>
      <c r="R503" s="104"/>
    </row>
    <row r="504" spans="1:19" ht="37.15" customHeight="1">
      <c r="A504" s="89" t="s">
        <v>1680</v>
      </c>
      <c r="B504" s="82" t="s">
        <v>53</v>
      </c>
      <c r="C504" s="83"/>
      <c r="D504" s="84" t="s">
        <v>117</v>
      </c>
      <c r="E504" s="85">
        <v>44712</v>
      </c>
      <c r="F504" s="85">
        <v>44772</v>
      </c>
      <c r="G504" s="82" t="s">
        <v>71</v>
      </c>
      <c r="H504" s="82" t="s">
        <v>1681</v>
      </c>
      <c r="I504" s="82"/>
      <c r="J504" s="82" t="s">
        <v>253</v>
      </c>
      <c r="K504" s="82" t="s">
        <v>42</v>
      </c>
      <c r="L504" s="86" t="s">
        <v>1682</v>
      </c>
      <c r="M504" s="79"/>
      <c r="N504" s="84">
        <v>2</v>
      </c>
      <c r="O504" s="95"/>
      <c r="P504" s="80"/>
      <c r="Q504" s="84"/>
      <c r="R504" s="101"/>
    </row>
    <row r="505" spans="1:19" ht="37.15" hidden="1" customHeight="1">
      <c r="A505" s="125" t="s">
        <v>1683</v>
      </c>
      <c r="B505" s="74" t="s">
        <v>38</v>
      </c>
      <c r="C505" s="75"/>
      <c r="D505" s="76" t="s">
        <v>39</v>
      </c>
      <c r="E505" s="77">
        <v>44712</v>
      </c>
      <c r="F505" s="77">
        <v>44742</v>
      </c>
      <c r="G505" s="74" t="s">
        <v>108</v>
      </c>
      <c r="H505" s="76" t="s">
        <v>1684</v>
      </c>
      <c r="I505" s="76"/>
      <c r="J505" s="74" t="s">
        <v>1685</v>
      </c>
      <c r="K505" s="74" t="s">
        <v>42</v>
      </c>
      <c r="L505" s="78" t="s">
        <v>1686</v>
      </c>
      <c r="M505" s="79"/>
      <c r="N505" s="76">
        <v>2</v>
      </c>
      <c r="O505" s="95"/>
      <c r="P505" s="80"/>
      <c r="Q505" s="76" t="s">
        <v>776</v>
      </c>
      <c r="R505" s="100">
        <v>44733</v>
      </c>
    </row>
    <row r="506" spans="1:19" ht="37.15" hidden="1" customHeight="1">
      <c r="A506" s="89" t="s">
        <v>1687</v>
      </c>
      <c r="B506" s="82" t="s">
        <v>47</v>
      </c>
      <c r="C506" s="83"/>
      <c r="D506" s="84" t="s">
        <v>39</v>
      </c>
      <c r="E506" s="85">
        <v>44715</v>
      </c>
      <c r="F506" s="85">
        <v>44745</v>
      </c>
      <c r="G506" s="82" t="s">
        <v>493</v>
      </c>
      <c r="H506" s="82" t="s">
        <v>1688</v>
      </c>
      <c r="I506" s="82"/>
      <c r="J506" s="82" t="s">
        <v>654</v>
      </c>
      <c r="K506" s="82" t="s">
        <v>42</v>
      </c>
      <c r="L506" s="86" t="s">
        <v>1689</v>
      </c>
      <c r="M506" s="79"/>
      <c r="N506" s="84">
        <v>3</v>
      </c>
      <c r="O506" s="95"/>
      <c r="P506" s="80"/>
      <c r="Q506" s="84" t="s">
        <v>776</v>
      </c>
      <c r="R506" s="101">
        <v>44722</v>
      </c>
    </row>
    <row r="507" spans="1:19" ht="37.15" hidden="1" customHeight="1">
      <c r="A507" s="90" t="s">
        <v>1690</v>
      </c>
      <c r="B507" s="74" t="s">
        <v>47</v>
      </c>
      <c r="C507" s="75"/>
      <c r="D507" s="76" t="s">
        <v>39</v>
      </c>
      <c r="E507" s="77">
        <v>44715</v>
      </c>
      <c r="F507" s="77">
        <v>44745</v>
      </c>
      <c r="G507" s="74" t="s">
        <v>71</v>
      </c>
      <c r="H507" s="74" t="s">
        <v>1691</v>
      </c>
      <c r="I507" s="74"/>
      <c r="J507" s="74" t="s">
        <v>81</v>
      </c>
      <c r="K507" s="74" t="s">
        <v>1692</v>
      </c>
      <c r="L507" s="78" t="s">
        <v>1693</v>
      </c>
      <c r="M507" s="79"/>
      <c r="N507" s="76">
        <v>3</v>
      </c>
      <c r="O507" s="95"/>
      <c r="P507" s="80"/>
      <c r="Q507" s="76" t="s">
        <v>776</v>
      </c>
      <c r="R507" s="100">
        <v>44722</v>
      </c>
    </row>
    <row r="508" spans="1:19" ht="37.15" hidden="1" customHeight="1">
      <c r="A508" s="89" t="s">
        <v>1694</v>
      </c>
      <c r="B508" s="82" t="s">
        <v>38</v>
      </c>
      <c r="C508" s="83"/>
      <c r="D508" s="84" t="s">
        <v>39</v>
      </c>
      <c r="E508" s="85">
        <v>44715</v>
      </c>
      <c r="F508" s="85">
        <v>44745</v>
      </c>
      <c r="G508" s="82" t="s">
        <v>493</v>
      </c>
      <c r="H508" s="82" t="s">
        <v>1695</v>
      </c>
      <c r="I508" s="82"/>
      <c r="J508" s="82" t="s">
        <v>654</v>
      </c>
      <c r="K508" s="82" t="s">
        <v>1696</v>
      </c>
      <c r="L508" s="86" t="s">
        <v>1697</v>
      </c>
      <c r="M508" s="79"/>
      <c r="N508" s="84">
        <v>3</v>
      </c>
      <c r="O508" s="95"/>
      <c r="P508" s="80"/>
      <c r="Q508" s="84" t="s">
        <v>776</v>
      </c>
      <c r="R508" s="101">
        <v>44747</v>
      </c>
      <c r="S508" s="6"/>
    </row>
    <row r="509" spans="1:19" ht="37.15" customHeight="1">
      <c r="A509" s="90" t="s">
        <v>1698</v>
      </c>
      <c r="B509" s="74" t="s">
        <v>53</v>
      </c>
      <c r="C509" s="75"/>
      <c r="D509" s="76" t="s">
        <v>39</v>
      </c>
      <c r="E509" s="77">
        <v>44718</v>
      </c>
      <c r="F509" s="77">
        <v>44748</v>
      </c>
      <c r="G509" s="74" t="s">
        <v>71</v>
      </c>
      <c r="H509" s="74" t="s">
        <v>998</v>
      </c>
      <c r="I509" s="74"/>
      <c r="J509" s="74" t="s">
        <v>56</v>
      </c>
      <c r="K509" s="74">
        <v>953248</v>
      </c>
      <c r="L509" s="78" t="s">
        <v>1699</v>
      </c>
      <c r="M509" s="79"/>
      <c r="N509" s="76">
        <v>3</v>
      </c>
      <c r="O509" s="95"/>
      <c r="P509" s="80"/>
      <c r="Q509" s="76"/>
      <c r="R509" s="100"/>
    </row>
    <row r="510" spans="1:19" ht="37.15" hidden="1" customHeight="1">
      <c r="A510" s="89" t="s">
        <v>1700</v>
      </c>
      <c r="B510" s="82" t="s">
        <v>38</v>
      </c>
      <c r="C510" s="83"/>
      <c r="D510" s="84" t="s">
        <v>39</v>
      </c>
      <c r="E510" s="85">
        <v>44718</v>
      </c>
      <c r="F510" s="85">
        <v>44748</v>
      </c>
      <c r="G510" s="82" t="s">
        <v>71</v>
      </c>
      <c r="H510" s="91" t="s">
        <v>1701</v>
      </c>
      <c r="I510" s="91"/>
      <c r="J510" s="82" t="s">
        <v>81</v>
      </c>
      <c r="K510" s="82" t="s">
        <v>1702</v>
      </c>
      <c r="L510" s="86" t="s">
        <v>1703</v>
      </c>
      <c r="M510" s="79"/>
      <c r="N510" s="84">
        <v>3</v>
      </c>
      <c r="O510" s="95"/>
      <c r="P510" s="80"/>
      <c r="Q510" s="84" t="s">
        <v>776</v>
      </c>
      <c r="R510" s="101">
        <v>44747</v>
      </c>
      <c r="S510" s="123"/>
    </row>
    <row r="511" spans="1:19" ht="37.15" customHeight="1">
      <c r="A511" s="90" t="s">
        <v>1704</v>
      </c>
      <c r="B511" s="74" t="s">
        <v>53</v>
      </c>
      <c r="C511" s="75"/>
      <c r="D511" s="76" t="s">
        <v>39</v>
      </c>
      <c r="E511" s="77">
        <v>44720</v>
      </c>
      <c r="F511" s="77">
        <v>44750</v>
      </c>
      <c r="G511" s="74" t="s">
        <v>71</v>
      </c>
      <c r="H511" s="92" t="s">
        <v>1705</v>
      </c>
      <c r="I511" s="92"/>
      <c r="J511" s="74" t="s">
        <v>56</v>
      </c>
      <c r="K511" s="74">
        <v>511260</v>
      </c>
      <c r="L511" s="78" t="s">
        <v>1706</v>
      </c>
      <c r="M511" s="79"/>
      <c r="N511" s="76">
        <v>3</v>
      </c>
      <c r="O511" s="95"/>
      <c r="P511" s="80"/>
      <c r="Q511" s="76"/>
      <c r="R511" s="104"/>
    </row>
    <row r="512" spans="1:19" ht="37.15" customHeight="1">
      <c r="A512" s="89" t="s">
        <v>1707</v>
      </c>
      <c r="B512" s="82" t="s">
        <v>53</v>
      </c>
      <c r="C512" s="83"/>
      <c r="D512" s="84" t="s">
        <v>39</v>
      </c>
      <c r="E512" s="85">
        <v>44720</v>
      </c>
      <c r="F512" s="85">
        <v>44750</v>
      </c>
      <c r="G512" s="82" t="s">
        <v>71</v>
      </c>
      <c r="H512" s="82" t="s">
        <v>1708</v>
      </c>
      <c r="I512" s="82"/>
      <c r="J512" s="82" t="s">
        <v>56</v>
      </c>
      <c r="K512" s="82" t="s">
        <v>42</v>
      </c>
      <c r="L512" s="86" t="s">
        <v>1709</v>
      </c>
      <c r="M512" s="79"/>
      <c r="N512" s="84">
        <v>5</v>
      </c>
      <c r="O512" s="95"/>
      <c r="P512" s="80"/>
      <c r="Q512" s="84"/>
      <c r="R512" s="103"/>
    </row>
    <row r="513" spans="1:19" ht="37.15" hidden="1" customHeight="1">
      <c r="A513" s="90" t="s">
        <v>1710</v>
      </c>
      <c r="B513" s="74" t="s">
        <v>38</v>
      </c>
      <c r="C513" s="75"/>
      <c r="D513" s="76" t="s">
        <v>39</v>
      </c>
      <c r="E513" s="77">
        <v>44722</v>
      </c>
      <c r="F513" s="77">
        <v>44752</v>
      </c>
      <c r="G513" s="74" t="s">
        <v>279</v>
      </c>
      <c r="H513" s="74" t="s">
        <v>1711</v>
      </c>
      <c r="I513" s="74"/>
      <c r="J513" s="74" t="s">
        <v>1712</v>
      </c>
      <c r="K513" s="74" t="s">
        <v>386</v>
      </c>
      <c r="L513" s="78" t="s">
        <v>1713</v>
      </c>
      <c r="M513" s="79"/>
      <c r="N513" s="76">
        <v>3</v>
      </c>
      <c r="O513" s="95"/>
      <c r="P513" s="80"/>
      <c r="Q513" s="76" t="s">
        <v>776</v>
      </c>
      <c r="R513" s="100">
        <v>44725</v>
      </c>
    </row>
    <row r="514" spans="1:19" ht="37.15" customHeight="1">
      <c r="A514" s="89" t="s">
        <v>1714</v>
      </c>
      <c r="B514" s="82" t="s">
        <v>53</v>
      </c>
      <c r="C514" s="83"/>
      <c r="D514" s="84" t="s">
        <v>39</v>
      </c>
      <c r="E514" s="85">
        <v>44726</v>
      </c>
      <c r="F514" s="85">
        <v>44756</v>
      </c>
      <c r="G514" s="82" t="s">
        <v>71</v>
      </c>
      <c r="H514" s="82" t="s">
        <v>1715</v>
      </c>
      <c r="I514" s="82"/>
      <c r="J514" s="82" t="s">
        <v>56</v>
      </c>
      <c r="K514" s="82" t="s">
        <v>42</v>
      </c>
      <c r="L514" s="86" t="s">
        <v>1716</v>
      </c>
      <c r="M514" s="79"/>
      <c r="N514" s="84">
        <v>3</v>
      </c>
      <c r="O514" s="95"/>
      <c r="P514" s="80"/>
      <c r="Q514" s="84"/>
      <c r="R514" s="101"/>
    </row>
    <row r="515" spans="1:19" ht="37.15" customHeight="1">
      <c r="A515" s="90" t="s">
        <v>1717</v>
      </c>
      <c r="B515" s="74" t="s">
        <v>53</v>
      </c>
      <c r="C515" s="75"/>
      <c r="D515" s="76" t="s">
        <v>117</v>
      </c>
      <c r="E515" s="77">
        <v>44728</v>
      </c>
      <c r="F515" s="77">
        <v>44758</v>
      </c>
      <c r="G515" s="74" t="s">
        <v>71</v>
      </c>
      <c r="H515" s="126" t="s">
        <v>1718</v>
      </c>
      <c r="I515" s="127"/>
      <c r="J515" s="74" t="s">
        <v>1719</v>
      </c>
      <c r="K515" s="74" t="s">
        <v>42</v>
      </c>
      <c r="L515" s="78" t="s">
        <v>1720</v>
      </c>
      <c r="M515" s="79"/>
      <c r="N515" s="76">
        <v>3</v>
      </c>
      <c r="O515" s="95"/>
      <c r="P515" s="80"/>
      <c r="Q515" s="76"/>
      <c r="R515" s="100"/>
    </row>
    <row r="516" spans="1:19" ht="37.15" hidden="1" customHeight="1">
      <c r="A516" s="89" t="s">
        <v>1721</v>
      </c>
      <c r="B516" s="82" t="s">
        <v>47</v>
      </c>
      <c r="C516" s="83"/>
      <c r="D516" s="84" t="s">
        <v>39</v>
      </c>
      <c r="E516" s="85">
        <v>44732</v>
      </c>
      <c r="F516" s="85">
        <v>44762</v>
      </c>
      <c r="G516" s="82" t="s">
        <v>71</v>
      </c>
      <c r="H516" s="82" t="s">
        <v>1722</v>
      </c>
      <c r="I516" s="82"/>
      <c r="J516" s="82" t="s">
        <v>56</v>
      </c>
      <c r="K516" s="82" t="s">
        <v>452</v>
      </c>
      <c r="L516" s="86" t="s">
        <v>1723</v>
      </c>
      <c r="M516" s="79"/>
      <c r="N516" s="84">
        <v>3</v>
      </c>
      <c r="O516" s="95"/>
      <c r="P516" s="80"/>
      <c r="Q516" s="84" t="s">
        <v>776</v>
      </c>
      <c r="R516" s="101">
        <v>44754</v>
      </c>
    </row>
    <row r="517" spans="1:19" ht="37.15" customHeight="1">
      <c r="A517" s="90" t="s">
        <v>1724</v>
      </c>
      <c r="B517" s="74" t="s">
        <v>53</v>
      </c>
      <c r="C517" s="75"/>
      <c r="D517" s="76" t="s">
        <v>39</v>
      </c>
      <c r="E517" s="77">
        <v>44733</v>
      </c>
      <c r="F517" s="77">
        <v>44763</v>
      </c>
      <c r="G517" s="74" t="s">
        <v>71</v>
      </c>
      <c r="H517" s="92" t="s">
        <v>765</v>
      </c>
      <c r="I517" s="92"/>
      <c r="J517" s="74" t="s">
        <v>56</v>
      </c>
      <c r="K517" s="74">
        <v>511385</v>
      </c>
      <c r="L517" s="78" t="s">
        <v>1725</v>
      </c>
      <c r="M517" s="79"/>
      <c r="N517" s="76">
        <v>2</v>
      </c>
      <c r="O517" s="95"/>
      <c r="P517" s="80"/>
      <c r="Q517" s="76" t="s">
        <v>776</v>
      </c>
      <c r="R517" s="104"/>
    </row>
    <row r="518" spans="1:19" ht="37.15" hidden="1" customHeight="1">
      <c r="A518" s="89" t="s">
        <v>1726</v>
      </c>
      <c r="B518" s="82" t="s">
        <v>38</v>
      </c>
      <c r="C518" s="83"/>
      <c r="D518" s="84" t="s">
        <v>39</v>
      </c>
      <c r="E518" s="85">
        <v>44736</v>
      </c>
      <c r="F518" s="85">
        <v>44766</v>
      </c>
      <c r="G518" s="82" t="s">
        <v>1727</v>
      </c>
      <c r="H518" s="82" t="s">
        <v>1728</v>
      </c>
      <c r="I518" s="82"/>
      <c r="J518" s="82" t="s">
        <v>81</v>
      </c>
      <c r="K518" s="82" t="s">
        <v>1729</v>
      </c>
      <c r="L518" s="86" t="s">
        <v>1730</v>
      </c>
      <c r="M518" s="79"/>
      <c r="N518" s="84">
        <v>3</v>
      </c>
      <c r="O518" s="95"/>
      <c r="P518" s="80"/>
      <c r="Q518" s="84" t="s">
        <v>776</v>
      </c>
      <c r="R518" s="101">
        <v>44834</v>
      </c>
    </row>
    <row r="519" spans="1:19" ht="37.15" hidden="1" customHeight="1">
      <c r="A519" s="90" t="s">
        <v>1731</v>
      </c>
      <c r="B519" s="74" t="s">
        <v>38</v>
      </c>
      <c r="C519" s="75"/>
      <c r="D519" s="76" t="s">
        <v>39</v>
      </c>
      <c r="E519" s="77">
        <v>44736</v>
      </c>
      <c r="F519" s="77">
        <v>44766</v>
      </c>
      <c r="G519" s="74" t="s">
        <v>493</v>
      </c>
      <c r="H519" s="74" t="s">
        <v>1141</v>
      </c>
      <c r="I519" s="74"/>
      <c r="J519" s="74" t="s">
        <v>1732</v>
      </c>
      <c r="K519" s="74" t="s">
        <v>452</v>
      </c>
      <c r="L519" s="78" t="s">
        <v>1733</v>
      </c>
      <c r="M519" s="79"/>
      <c r="N519" s="76">
        <v>7</v>
      </c>
      <c r="O519" s="95"/>
      <c r="P519" s="80"/>
      <c r="Q519" s="76" t="s">
        <v>776</v>
      </c>
      <c r="R519" s="100">
        <v>44747</v>
      </c>
      <c r="S519" s="123"/>
    </row>
    <row r="520" spans="1:19" ht="37.15" hidden="1" customHeight="1">
      <c r="A520" s="89" t="s">
        <v>1734</v>
      </c>
      <c r="B520" s="82" t="s">
        <v>38</v>
      </c>
      <c r="C520" s="83"/>
      <c r="D520" s="84" t="s">
        <v>39</v>
      </c>
      <c r="E520" s="85">
        <v>44736</v>
      </c>
      <c r="F520" s="85">
        <v>44766</v>
      </c>
      <c r="G520" s="82" t="s">
        <v>108</v>
      </c>
      <c r="H520" s="82" t="s">
        <v>1437</v>
      </c>
      <c r="I520" s="82"/>
      <c r="J520" s="82" t="s">
        <v>1735</v>
      </c>
      <c r="K520" s="82" t="s">
        <v>1736</v>
      </c>
      <c r="L520" s="86" t="s">
        <v>1737</v>
      </c>
      <c r="M520" s="79"/>
      <c r="N520" s="84">
        <v>4</v>
      </c>
      <c r="O520" s="95"/>
      <c r="P520" s="80"/>
      <c r="Q520" s="84" t="s">
        <v>776</v>
      </c>
      <c r="R520" s="101">
        <v>44747</v>
      </c>
    </row>
    <row r="521" spans="1:19" ht="48.2" hidden="1" customHeight="1">
      <c r="A521" s="90" t="s">
        <v>1738</v>
      </c>
      <c r="B521" s="74" t="s">
        <v>493</v>
      </c>
      <c r="C521" s="75"/>
      <c r="D521" s="76" t="s">
        <v>39</v>
      </c>
      <c r="E521" s="77">
        <v>44740</v>
      </c>
      <c r="F521" s="77">
        <v>44770</v>
      </c>
      <c r="G521" s="74" t="s">
        <v>71</v>
      </c>
      <c r="H521" s="74" t="s">
        <v>1739</v>
      </c>
      <c r="I521" s="74"/>
      <c r="J521" s="74" t="s">
        <v>1740</v>
      </c>
      <c r="K521" s="74" t="s">
        <v>1741</v>
      </c>
      <c r="L521" s="78" t="s">
        <v>1742</v>
      </c>
      <c r="M521" s="79"/>
      <c r="N521" s="76">
        <v>6</v>
      </c>
      <c r="O521" s="95"/>
      <c r="P521" s="80"/>
      <c r="Q521" s="76" t="s">
        <v>776</v>
      </c>
      <c r="R521" s="100">
        <v>44754</v>
      </c>
      <c r="S521" s="123"/>
    </row>
    <row r="522" spans="1:19" ht="37.15" hidden="1" customHeight="1">
      <c r="A522" s="89" t="s">
        <v>1743</v>
      </c>
      <c r="B522" s="82" t="s">
        <v>47</v>
      </c>
      <c r="C522" s="83"/>
      <c r="D522" s="84" t="s">
        <v>39</v>
      </c>
      <c r="E522" s="85">
        <v>44741</v>
      </c>
      <c r="F522" s="85">
        <v>44771</v>
      </c>
      <c r="G522" s="82" t="s">
        <v>71</v>
      </c>
      <c r="H522" s="82" t="s">
        <v>1744</v>
      </c>
      <c r="I522" s="82"/>
      <c r="J522" s="82" t="s">
        <v>56</v>
      </c>
      <c r="K522" s="82" t="s">
        <v>452</v>
      </c>
      <c r="L522" s="86" t="s">
        <v>1745</v>
      </c>
      <c r="M522" s="79"/>
      <c r="N522" s="84">
        <v>3</v>
      </c>
      <c r="O522" s="95"/>
      <c r="P522" s="80"/>
      <c r="Q522" s="84" t="s">
        <v>776</v>
      </c>
      <c r="R522" s="101">
        <v>44755</v>
      </c>
    </row>
    <row r="523" spans="1:19" ht="37.15" customHeight="1">
      <c r="A523" s="90" t="s">
        <v>1746</v>
      </c>
      <c r="B523" s="74" t="s">
        <v>53</v>
      </c>
      <c r="C523" s="75"/>
      <c r="D523" s="76" t="s">
        <v>39</v>
      </c>
      <c r="E523" s="77">
        <v>44742</v>
      </c>
      <c r="F523" s="77">
        <v>44772</v>
      </c>
      <c r="G523" s="74" t="s">
        <v>71</v>
      </c>
      <c r="H523" s="74" t="s">
        <v>909</v>
      </c>
      <c r="I523" s="74"/>
      <c r="J523" s="74" t="s">
        <v>98</v>
      </c>
      <c r="K523" s="74" t="s">
        <v>1747</v>
      </c>
      <c r="L523" s="78" t="s">
        <v>1748</v>
      </c>
      <c r="M523" s="79"/>
      <c r="N523" s="76">
        <v>1</v>
      </c>
      <c r="O523" s="95"/>
      <c r="P523" s="80"/>
      <c r="Q523" s="76"/>
      <c r="R523" s="100"/>
    </row>
    <row r="524" spans="1:19" ht="37.15" customHeight="1">
      <c r="A524" s="89" t="s">
        <v>1749</v>
      </c>
      <c r="B524" s="82" t="s">
        <v>53</v>
      </c>
      <c r="C524" s="83"/>
      <c r="D524" s="84" t="s">
        <v>39</v>
      </c>
      <c r="E524" s="85">
        <v>44746</v>
      </c>
      <c r="F524" s="85">
        <v>44777</v>
      </c>
      <c r="G524" s="82" t="s">
        <v>71</v>
      </c>
      <c r="H524" s="82" t="s">
        <v>1750</v>
      </c>
      <c r="I524" s="82"/>
      <c r="J524" s="82" t="s">
        <v>102</v>
      </c>
      <c r="K524" s="82" t="s">
        <v>42</v>
      </c>
      <c r="L524" s="86" t="s">
        <v>1751</v>
      </c>
      <c r="M524" s="79"/>
      <c r="N524" s="84">
        <v>2</v>
      </c>
      <c r="O524" s="95"/>
      <c r="P524" s="80"/>
      <c r="Q524" s="84" t="s">
        <v>776</v>
      </c>
      <c r="R524" s="103"/>
    </row>
    <row r="525" spans="1:19" ht="15" hidden="1">
      <c r="A525" s="90" t="s">
        <v>1752</v>
      </c>
      <c r="B525" s="74" t="s">
        <v>38</v>
      </c>
      <c r="C525" s="75"/>
      <c r="D525" s="76" t="s">
        <v>39</v>
      </c>
      <c r="E525" s="77">
        <v>44747</v>
      </c>
      <c r="F525" s="77">
        <v>44778</v>
      </c>
      <c r="G525" s="74" t="s">
        <v>108</v>
      </c>
      <c r="H525" s="74" t="s">
        <v>41</v>
      </c>
      <c r="I525" s="74"/>
      <c r="J525" s="74" t="s">
        <v>1753</v>
      </c>
      <c r="K525" s="74" t="s">
        <v>1736</v>
      </c>
      <c r="L525" s="78" t="s">
        <v>1754</v>
      </c>
      <c r="M525" s="79"/>
      <c r="N525" s="76">
        <v>3</v>
      </c>
      <c r="O525" s="95"/>
      <c r="P525" s="80"/>
      <c r="Q525" s="76" t="s">
        <v>776</v>
      </c>
      <c r="R525" s="100">
        <v>45030</v>
      </c>
      <c r="S525" s="123"/>
    </row>
    <row r="526" spans="1:19" ht="37.15" hidden="1" customHeight="1">
      <c r="A526" s="89" t="s">
        <v>1755</v>
      </c>
      <c r="B526" s="82" t="s">
        <v>38</v>
      </c>
      <c r="C526" s="83"/>
      <c r="D526" s="84" t="s">
        <v>39</v>
      </c>
      <c r="E526" s="85">
        <v>44748</v>
      </c>
      <c r="F526" s="85">
        <v>44779</v>
      </c>
      <c r="G526" s="82" t="s">
        <v>108</v>
      </c>
      <c r="H526" s="82" t="s">
        <v>1756</v>
      </c>
      <c r="I526" s="82"/>
      <c r="J526" s="82" t="s">
        <v>56</v>
      </c>
      <c r="K526" s="82" t="s">
        <v>1757</v>
      </c>
      <c r="L526" s="86" t="s">
        <v>1758</v>
      </c>
      <c r="M526" s="79"/>
      <c r="N526" s="84">
        <v>3</v>
      </c>
      <c r="O526" s="95"/>
      <c r="P526" s="80"/>
      <c r="Q526" s="84" t="s">
        <v>776</v>
      </c>
      <c r="R526" s="101">
        <v>44750</v>
      </c>
    </row>
    <row r="527" spans="1:19" ht="37.15" customHeight="1">
      <c r="A527" s="90" t="s">
        <v>1759</v>
      </c>
      <c r="B527" s="74" t="s">
        <v>53</v>
      </c>
      <c r="C527" s="75"/>
      <c r="D527" s="76" t="s">
        <v>39</v>
      </c>
      <c r="E527" s="77">
        <v>44753</v>
      </c>
      <c r="F527" s="77">
        <v>44784</v>
      </c>
      <c r="G527" s="74" t="s">
        <v>71</v>
      </c>
      <c r="H527" s="92" t="s">
        <v>1760</v>
      </c>
      <c r="I527" s="92"/>
      <c r="J527" s="74" t="s">
        <v>1540</v>
      </c>
      <c r="K527" s="74">
        <v>509100</v>
      </c>
      <c r="L527" s="78" t="s">
        <v>1761</v>
      </c>
      <c r="M527" s="79"/>
      <c r="N527" s="76">
        <v>1</v>
      </c>
      <c r="O527" s="95"/>
      <c r="P527" s="80"/>
      <c r="Q527" s="76"/>
      <c r="R527" s="100"/>
    </row>
    <row r="528" spans="1:19" ht="45" hidden="1">
      <c r="A528" s="89" t="s">
        <v>1762</v>
      </c>
      <c r="B528" s="82" t="s">
        <v>47</v>
      </c>
      <c r="C528" s="83"/>
      <c r="D528" s="84" t="s">
        <v>39</v>
      </c>
      <c r="E528" s="85"/>
      <c r="F528" s="85"/>
      <c r="G528" s="82" t="s">
        <v>71</v>
      </c>
      <c r="H528" s="82" t="s">
        <v>1763</v>
      </c>
      <c r="I528" s="82"/>
      <c r="J528" s="82" t="s">
        <v>1764</v>
      </c>
      <c r="K528" s="82" t="s">
        <v>1765</v>
      </c>
      <c r="L528" s="86" t="s">
        <v>1766</v>
      </c>
      <c r="M528" s="79"/>
      <c r="N528" s="84">
        <v>5</v>
      </c>
      <c r="O528" s="95"/>
      <c r="P528" s="80"/>
      <c r="Q528" s="84" t="s">
        <v>776</v>
      </c>
      <c r="R528" s="101" t="s">
        <v>1767</v>
      </c>
      <c r="S528" s="123"/>
    </row>
    <row r="529" spans="1:19" ht="37.15" customHeight="1">
      <c r="A529" s="90" t="s">
        <v>1768</v>
      </c>
      <c r="B529" s="74" t="s">
        <v>53</v>
      </c>
      <c r="C529" s="75"/>
      <c r="D529" s="76" t="s">
        <v>39</v>
      </c>
      <c r="E529" s="77">
        <v>44755</v>
      </c>
      <c r="F529" s="77">
        <v>44786</v>
      </c>
      <c r="G529" s="74" t="s">
        <v>71</v>
      </c>
      <c r="H529" s="74" t="s">
        <v>1769</v>
      </c>
      <c r="I529" s="74"/>
      <c r="J529" s="74" t="s">
        <v>102</v>
      </c>
      <c r="K529" s="74" t="s">
        <v>42</v>
      </c>
      <c r="L529" s="78" t="s">
        <v>1770</v>
      </c>
      <c r="M529" s="79"/>
      <c r="N529" s="76">
        <v>2</v>
      </c>
      <c r="O529" s="95"/>
      <c r="P529" s="80"/>
      <c r="Q529" s="76" t="s">
        <v>776</v>
      </c>
      <c r="R529" s="104"/>
    </row>
    <row r="530" spans="1:19" ht="15" hidden="1">
      <c r="A530" s="89" t="s">
        <v>1771</v>
      </c>
      <c r="B530" s="82" t="s">
        <v>38</v>
      </c>
      <c r="C530" s="83"/>
      <c r="D530" s="84" t="s">
        <v>39</v>
      </c>
      <c r="E530" s="85">
        <v>44755</v>
      </c>
      <c r="F530" s="85">
        <v>44786</v>
      </c>
      <c r="G530" s="82" t="s">
        <v>108</v>
      </c>
      <c r="H530" s="82" t="s">
        <v>1772</v>
      </c>
      <c r="I530" s="82"/>
      <c r="J530" s="82" t="s">
        <v>1773</v>
      </c>
      <c r="K530" s="82" t="s">
        <v>1774</v>
      </c>
      <c r="L530" s="86" t="s">
        <v>1775</v>
      </c>
      <c r="M530" s="79"/>
      <c r="N530" s="84">
        <v>3</v>
      </c>
      <c r="O530" s="95"/>
      <c r="P530" s="80"/>
      <c r="Q530" s="84" t="s">
        <v>776</v>
      </c>
      <c r="R530" s="101">
        <v>44917</v>
      </c>
      <c r="S530" s="123"/>
    </row>
    <row r="531" spans="1:19" ht="37.15" hidden="1" customHeight="1">
      <c r="A531" s="90" t="s">
        <v>1776</v>
      </c>
      <c r="B531" s="74" t="s">
        <v>38</v>
      </c>
      <c r="C531" s="75"/>
      <c r="D531" s="76" t="s">
        <v>39</v>
      </c>
      <c r="E531" s="77">
        <v>44762</v>
      </c>
      <c r="F531" s="77">
        <v>44793</v>
      </c>
      <c r="G531" s="74" t="s">
        <v>108</v>
      </c>
      <c r="H531" s="74" t="s">
        <v>1777</v>
      </c>
      <c r="I531" s="74"/>
      <c r="J531" s="74" t="s">
        <v>1778</v>
      </c>
      <c r="K531" s="74" t="s">
        <v>1779</v>
      </c>
      <c r="L531" s="78" t="s">
        <v>1780</v>
      </c>
      <c r="M531" s="79"/>
      <c r="N531" s="76">
        <v>4</v>
      </c>
      <c r="O531" s="95"/>
      <c r="P531" s="80"/>
      <c r="Q531" s="76" t="s">
        <v>776</v>
      </c>
      <c r="R531" s="100">
        <v>44880</v>
      </c>
    </row>
    <row r="532" spans="1:19" ht="37.15" hidden="1" customHeight="1">
      <c r="A532" s="89" t="s">
        <v>1781</v>
      </c>
      <c r="B532" s="82" t="s">
        <v>38</v>
      </c>
      <c r="C532" s="83"/>
      <c r="D532" s="84" t="s">
        <v>39</v>
      </c>
      <c r="E532" s="85">
        <v>44762</v>
      </c>
      <c r="F532" s="85">
        <v>44793</v>
      </c>
      <c r="G532" s="82" t="s">
        <v>108</v>
      </c>
      <c r="H532" s="82" t="s">
        <v>1782</v>
      </c>
      <c r="I532" s="82"/>
      <c r="J532" s="82" t="s">
        <v>1783</v>
      </c>
      <c r="K532" s="82" t="s">
        <v>1784</v>
      </c>
      <c r="L532" s="86" t="s">
        <v>1785</v>
      </c>
      <c r="M532" s="79"/>
      <c r="N532" s="84">
        <v>4</v>
      </c>
      <c r="O532" s="95"/>
      <c r="P532" s="80"/>
      <c r="Q532" s="84" t="s">
        <v>776</v>
      </c>
      <c r="R532" s="101">
        <v>44859</v>
      </c>
      <c r="S532" s="123"/>
    </row>
    <row r="533" spans="1:19" ht="37.15" customHeight="1">
      <c r="A533" s="90" t="s">
        <v>1786</v>
      </c>
      <c r="B533" s="74" t="s">
        <v>53</v>
      </c>
      <c r="C533" s="75"/>
      <c r="D533" s="76" t="s">
        <v>39</v>
      </c>
      <c r="E533" s="77">
        <v>44763</v>
      </c>
      <c r="F533" s="77">
        <v>44794</v>
      </c>
      <c r="G533" s="74" t="s">
        <v>71</v>
      </c>
      <c r="H533" s="74" t="s">
        <v>1351</v>
      </c>
      <c r="I533" s="74"/>
      <c r="J533" s="74" t="s">
        <v>56</v>
      </c>
      <c r="K533" s="74" t="s">
        <v>1787</v>
      </c>
      <c r="L533" s="78" t="s">
        <v>1788</v>
      </c>
      <c r="M533" s="79"/>
      <c r="N533" s="76">
        <v>3</v>
      </c>
      <c r="O533" s="95"/>
      <c r="P533" s="80"/>
      <c r="Q533" s="76"/>
      <c r="R533" s="104"/>
    </row>
    <row r="534" spans="1:19" ht="37.15" customHeight="1">
      <c r="A534" s="89" t="s">
        <v>1789</v>
      </c>
      <c r="B534" s="82" t="s">
        <v>53</v>
      </c>
      <c r="C534" s="83"/>
      <c r="D534" s="84" t="s">
        <v>39</v>
      </c>
      <c r="E534" s="85">
        <v>44785</v>
      </c>
      <c r="F534" s="85">
        <v>44816</v>
      </c>
      <c r="G534" s="82" t="s">
        <v>71</v>
      </c>
      <c r="H534" s="82" t="s">
        <v>1790</v>
      </c>
      <c r="I534" s="82"/>
      <c r="J534" s="84" t="s">
        <v>1791</v>
      </c>
      <c r="K534" s="82" t="s">
        <v>1792</v>
      </c>
      <c r="L534" s="86" t="s">
        <v>1793</v>
      </c>
      <c r="M534" s="79"/>
      <c r="N534" s="84">
        <v>3</v>
      </c>
      <c r="O534" s="95"/>
      <c r="P534" s="80"/>
      <c r="Q534" s="84"/>
      <c r="R534" s="103"/>
    </row>
    <row r="535" spans="1:19" ht="37.15" hidden="1" customHeight="1">
      <c r="A535" s="90" t="s">
        <v>1794</v>
      </c>
      <c r="B535" s="74" t="s">
        <v>47</v>
      </c>
      <c r="C535" s="75"/>
      <c r="D535" s="76" t="s">
        <v>39</v>
      </c>
      <c r="E535" s="77">
        <v>44785</v>
      </c>
      <c r="F535" s="77">
        <v>44816</v>
      </c>
      <c r="G535" s="74" t="s">
        <v>71</v>
      </c>
      <c r="H535" s="74" t="s">
        <v>1504</v>
      </c>
      <c r="I535" s="74"/>
      <c r="J535" s="74" t="s">
        <v>102</v>
      </c>
      <c r="K535" s="74" t="s">
        <v>1795</v>
      </c>
      <c r="L535" s="78" t="s">
        <v>1796</v>
      </c>
      <c r="M535" s="79"/>
      <c r="N535" s="76">
        <v>3</v>
      </c>
      <c r="O535" s="95"/>
      <c r="P535" s="80"/>
      <c r="Q535" s="76" t="s">
        <v>776</v>
      </c>
      <c r="R535" s="100">
        <v>44792</v>
      </c>
    </row>
    <row r="536" spans="1:19" ht="37.15" hidden="1" customHeight="1">
      <c r="A536" s="89" t="s">
        <v>1797</v>
      </c>
      <c r="B536" s="82" t="s">
        <v>47</v>
      </c>
      <c r="C536" s="83"/>
      <c r="D536" s="84" t="s">
        <v>39</v>
      </c>
      <c r="E536" s="85">
        <v>44785</v>
      </c>
      <c r="F536" s="85">
        <v>44816</v>
      </c>
      <c r="G536" s="82" t="s">
        <v>108</v>
      </c>
      <c r="H536" s="82" t="s">
        <v>1798</v>
      </c>
      <c r="I536" s="82"/>
      <c r="J536" s="82" t="s">
        <v>493</v>
      </c>
      <c r="K536" s="82" t="s">
        <v>386</v>
      </c>
      <c r="L536" s="86" t="s">
        <v>1799</v>
      </c>
      <c r="M536" s="79"/>
      <c r="N536" s="84">
        <v>3</v>
      </c>
      <c r="O536" s="95"/>
      <c r="P536" s="80"/>
      <c r="Q536" s="84" t="s">
        <v>776</v>
      </c>
      <c r="R536" s="101">
        <v>44792</v>
      </c>
    </row>
    <row r="537" spans="1:19" ht="37.15" hidden="1" customHeight="1">
      <c r="A537" s="90" t="s">
        <v>1800</v>
      </c>
      <c r="B537" s="74" t="s">
        <v>47</v>
      </c>
      <c r="C537" s="75"/>
      <c r="D537" s="76" t="s">
        <v>39</v>
      </c>
      <c r="E537" s="77">
        <v>44795</v>
      </c>
      <c r="F537" s="77">
        <v>44823</v>
      </c>
      <c r="G537" s="74" t="s">
        <v>71</v>
      </c>
      <c r="H537" s="74" t="s">
        <v>1504</v>
      </c>
      <c r="I537" s="74"/>
      <c r="J537" s="74" t="s">
        <v>56</v>
      </c>
      <c r="K537" s="74" t="s">
        <v>386</v>
      </c>
      <c r="L537" s="78" t="s">
        <v>1801</v>
      </c>
      <c r="M537" s="79"/>
      <c r="N537" s="76">
        <v>3</v>
      </c>
      <c r="O537" s="95"/>
      <c r="P537" s="80"/>
      <c r="Q537" s="76" t="s">
        <v>776</v>
      </c>
      <c r="R537" s="100">
        <v>44813</v>
      </c>
    </row>
    <row r="538" spans="1:19" ht="48.2" hidden="1" customHeight="1">
      <c r="A538" s="89" t="s">
        <v>1802</v>
      </c>
      <c r="B538" s="82" t="s">
        <v>38</v>
      </c>
      <c r="C538" s="83"/>
      <c r="D538" s="84" t="s">
        <v>39</v>
      </c>
      <c r="E538" s="85">
        <v>44795</v>
      </c>
      <c r="F538" s="85">
        <v>44823</v>
      </c>
      <c r="G538" s="82" t="s">
        <v>493</v>
      </c>
      <c r="H538" s="82" t="s">
        <v>1574</v>
      </c>
      <c r="I538" s="82"/>
      <c r="J538" s="82" t="s">
        <v>1620</v>
      </c>
      <c r="K538" s="82" t="s">
        <v>1803</v>
      </c>
      <c r="L538" s="86" t="s">
        <v>1804</v>
      </c>
      <c r="M538" s="79"/>
      <c r="N538" s="84">
        <v>3</v>
      </c>
      <c r="O538" s="95"/>
      <c r="P538" s="80"/>
      <c r="Q538" s="84" t="s">
        <v>776</v>
      </c>
      <c r="R538" s="101">
        <v>44859</v>
      </c>
      <c r="S538" s="123"/>
    </row>
    <row r="539" spans="1:19" ht="37.15" hidden="1" customHeight="1">
      <c r="A539" s="90" t="s">
        <v>1805</v>
      </c>
      <c r="B539" s="74" t="s">
        <v>47</v>
      </c>
      <c r="C539" s="75"/>
      <c r="D539" s="76" t="s">
        <v>39</v>
      </c>
      <c r="E539" s="77">
        <v>44797</v>
      </c>
      <c r="F539" s="77">
        <v>44828</v>
      </c>
      <c r="G539" s="74" t="s">
        <v>71</v>
      </c>
      <c r="H539" s="74" t="s">
        <v>1504</v>
      </c>
      <c r="I539" s="74"/>
      <c r="J539" s="74" t="s">
        <v>56</v>
      </c>
      <c r="K539" s="74" t="s">
        <v>1806</v>
      </c>
      <c r="L539" s="78" t="s">
        <v>1807</v>
      </c>
      <c r="M539" s="79"/>
      <c r="N539" s="76">
        <v>3</v>
      </c>
      <c r="O539" s="95"/>
      <c r="P539" s="80"/>
      <c r="Q539" s="76" t="s">
        <v>776</v>
      </c>
      <c r="R539" s="100">
        <v>44813</v>
      </c>
    </row>
    <row r="540" spans="1:19" ht="37.15" hidden="1" customHeight="1">
      <c r="A540" s="89" t="s">
        <v>1808</v>
      </c>
      <c r="B540" s="82" t="s">
        <v>47</v>
      </c>
      <c r="C540" s="83"/>
      <c r="D540" s="84" t="s">
        <v>39</v>
      </c>
      <c r="E540" s="85">
        <v>44797</v>
      </c>
      <c r="F540" s="85">
        <v>44828</v>
      </c>
      <c r="G540" s="82" t="s">
        <v>71</v>
      </c>
      <c r="H540" s="82" t="s">
        <v>1504</v>
      </c>
      <c r="I540" s="82"/>
      <c r="J540" s="82" t="s">
        <v>56</v>
      </c>
      <c r="K540" s="82" t="s">
        <v>1806</v>
      </c>
      <c r="L540" s="86" t="s">
        <v>1809</v>
      </c>
      <c r="M540" s="79"/>
      <c r="N540" s="84">
        <v>3</v>
      </c>
      <c r="O540" s="95"/>
      <c r="P540" s="80"/>
      <c r="Q540" s="84" t="s">
        <v>776</v>
      </c>
      <c r="R540" s="101">
        <v>44813</v>
      </c>
    </row>
    <row r="541" spans="1:19" ht="37.15" customHeight="1">
      <c r="A541" s="90" t="s">
        <v>1810</v>
      </c>
      <c r="B541" s="74" t="s">
        <v>53</v>
      </c>
      <c r="C541" s="75"/>
      <c r="D541" s="76" t="s">
        <v>39</v>
      </c>
      <c r="E541" s="77">
        <v>44798</v>
      </c>
      <c r="F541" s="77" t="s">
        <v>1811</v>
      </c>
      <c r="G541" s="74" t="s">
        <v>71</v>
      </c>
      <c r="H541" s="74" t="s">
        <v>1222</v>
      </c>
      <c r="I541" s="74"/>
      <c r="J541" s="74" t="s">
        <v>98</v>
      </c>
      <c r="K541" s="74">
        <v>453455</v>
      </c>
      <c r="L541" s="78" t="s">
        <v>1812</v>
      </c>
      <c r="M541" s="79"/>
      <c r="N541" s="76">
        <v>3</v>
      </c>
      <c r="O541" s="95"/>
      <c r="P541" s="80"/>
      <c r="Q541" s="76"/>
      <c r="R541" s="100"/>
    </row>
    <row r="542" spans="1:19" ht="37.15" hidden="1" customHeight="1">
      <c r="A542" s="89" t="s">
        <v>1813</v>
      </c>
      <c r="B542" s="82" t="s">
        <v>47</v>
      </c>
      <c r="C542" s="83"/>
      <c r="D542" s="84" t="s">
        <v>39</v>
      </c>
      <c r="E542" s="85">
        <v>44803</v>
      </c>
      <c r="F542" s="85">
        <v>44834</v>
      </c>
      <c r="G542" s="82" t="s">
        <v>71</v>
      </c>
      <c r="H542" s="82" t="s">
        <v>1504</v>
      </c>
      <c r="I542" s="82" t="s">
        <v>744</v>
      </c>
      <c r="J542" s="82" t="s">
        <v>102</v>
      </c>
      <c r="K542" s="82" t="s">
        <v>1814</v>
      </c>
      <c r="L542" s="86" t="s">
        <v>1815</v>
      </c>
      <c r="M542" s="79"/>
      <c r="N542" s="84">
        <v>3</v>
      </c>
      <c r="O542" s="95"/>
      <c r="P542" s="80"/>
      <c r="Q542" s="84" t="s">
        <v>776</v>
      </c>
      <c r="R542" s="101">
        <v>44823</v>
      </c>
    </row>
    <row r="543" spans="1:19" ht="37.15" customHeight="1">
      <c r="A543" s="90" t="s">
        <v>1816</v>
      </c>
      <c r="B543" s="74" t="s">
        <v>53</v>
      </c>
      <c r="C543" s="75"/>
      <c r="D543" s="76" t="s">
        <v>39</v>
      </c>
      <c r="E543" s="77">
        <v>44804</v>
      </c>
      <c r="F543" s="77">
        <v>44925</v>
      </c>
      <c r="G543" s="74" t="s">
        <v>71</v>
      </c>
      <c r="H543" s="74" t="s">
        <v>1817</v>
      </c>
      <c r="I543" s="74"/>
      <c r="J543" s="74" t="s">
        <v>1712</v>
      </c>
      <c r="K543" s="74" t="s">
        <v>1818</v>
      </c>
      <c r="L543" s="76" t="s">
        <v>1819</v>
      </c>
      <c r="M543" s="79"/>
      <c r="N543" s="76">
        <v>3</v>
      </c>
      <c r="O543" s="95"/>
      <c r="P543" s="80"/>
      <c r="Q543" s="128" t="s">
        <v>776</v>
      </c>
      <c r="R543" s="104"/>
    </row>
    <row r="544" spans="1:19" ht="37.15" hidden="1" customHeight="1">
      <c r="A544" s="89" t="s">
        <v>1820</v>
      </c>
      <c r="B544" s="82" t="s">
        <v>47</v>
      </c>
      <c r="C544" s="83" t="s">
        <v>47</v>
      </c>
      <c r="D544" s="84" t="s">
        <v>39</v>
      </c>
      <c r="E544" s="85">
        <v>44804</v>
      </c>
      <c r="F544" s="85">
        <v>44834</v>
      </c>
      <c r="G544" s="82" t="s">
        <v>71</v>
      </c>
      <c r="H544" s="82" t="s">
        <v>1504</v>
      </c>
      <c r="I544" s="82"/>
      <c r="J544" s="82" t="s">
        <v>385</v>
      </c>
      <c r="K544" s="82" t="s">
        <v>386</v>
      </c>
      <c r="L544" s="86" t="s">
        <v>1821</v>
      </c>
      <c r="M544" s="79"/>
      <c r="N544" s="84">
        <v>3</v>
      </c>
      <c r="O544" s="95"/>
      <c r="P544" s="80"/>
      <c r="Q544" s="84" t="s">
        <v>776</v>
      </c>
      <c r="R544" s="101">
        <v>44826</v>
      </c>
    </row>
    <row r="545" spans="1:19" ht="37.15" hidden="1" customHeight="1">
      <c r="A545" s="90" t="s">
        <v>1822</v>
      </c>
      <c r="B545" s="74" t="s">
        <v>47</v>
      </c>
      <c r="C545" s="75"/>
      <c r="D545" s="76" t="s">
        <v>39</v>
      </c>
      <c r="E545" s="77">
        <v>44804</v>
      </c>
      <c r="F545" s="77">
        <v>44834</v>
      </c>
      <c r="G545" s="74" t="s">
        <v>71</v>
      </c>
      <c r="H545" s="74" t="s">
        <v>1504</v>
      </c>
      <c r="I545" s="74" t="s">
        <v>592</v>
      </c>
      <c r="J545" s="74" t="s">
        <v>385</v>
      </c>
      <c r="K545" s="74" t="s">
        <v>386</v>
      </c>
      <c r="L545" s="78" t="s">
        <v>1823</v>
      </c>
      <c r="M545" s="79"/>
      <c r="N545" s="76">
        <v>3</v>
      </c>
      <c r="O545" s="95"/>
      <c r="P545" s="80"/>
      <c r="Q545" s="76" t="s">
        <v>776</v>
      </c>
      <c r="R545" s="100">
        <v>44826</v>
      </c>
    </row>
    <row r="546" spans="1:19" ht="37.15" hidden="1" customHeight="1">
      <c r="A546" s="89" t="s">
        <v>1824</v>
      </c>
      <c r="B546" s="82" t="s">
        <v>38</v>
      </c>
      <c r="C546" s="83"/>
      <c r="D546" s="84" t="s">
        <v>39</v>
      </c>
      <c r="E546" s="85">
        <v>44812</v>
      </c>
      <c r="F546" s="85">
        <v>44842</v>
      </c>
      <c r="G546" s="82" t="s">
        <v>108</v>
      </c>
      <c r="H546" s="82" t="s">
        <v>41</v>
      </c>
      <c r="I546" s="82"/>
      <c r="J546" s="82" t="s">
        <v>56</v>
      </c>
      <c r="K546" s="82" t="s">
        <v>1825</v>
      </c>
      <c r="L546" s="86" t="s">
        <v>1826</v>
      </c>
      <c r="M546" s="79"/>
      <c r="N546" s="84">
        <v>3</v>
      </c>
      <c r="O546" s="95"/>
      <c r="P546" s="80"/>
      <c r="Q546" s="84" t="s">
        <v>776</v>
      </c>
      <c r="R546" s="101">
        <v>44824</v>
      </c>
    </row>
    <row r="547" spans="1:19" ht="37.15" customHeight="1">
      <c r="A547" s="90" t="s">
        <v>1827</v>
      </c>
      <c r="B547" s="74" t="s">
        <v>53</v>
      </c>
      <c r="C547" s="75"/>
      <c r="D547" s="76" t="s">
        <v>39</v>
      </c>
      <c r="E547" s="77">
        <v>44806</v>
      </c>
      <c r="F547" s="77">
        <v>44897</v>
      </c>
      <c r="G547" s="74" t="s">
        <v>71</v>
      </c>
      <c r="H547" s="74" t="s">
        <v>1222</v>
      </c>
      <c r="I547" s="74"/>
      <c r="J547" s="74" t="s">
        <v>56</v>
      </c>
      <c r="K547" s="74"/>
      <c r="L547" s="78" t="s">
        <v>1828</v>
      </c>
      <c r="M547" s="79"/>
      <c r="N547" s="76">
        <v>3</v>
      </c>
      <c r="O547" s="95"/>
      <c r="P547" s="80"/>
      <c r="Q547" s="76"/>
      <c r="R547" s="100"/>
    </row>
    <row r="548" spans="1:19" ht="37.15" hidden="1" customHeight="1">
      <c r="A548" s="89" t="s">
        <v>1829</v>
      </c>
      <c r="B548" s="82" t="s">
        <v>47</v>
      </c>
      <c r="C548" s="83"/>
      <c r="D548" s="84" t="s">
        <v>39</v>
      </c>
      <c r="E548" s="85">
        <v>44812</v>
      </c>
      <c r="F548" s="85">
        <v>44842</v>
      </c>
      <c r="G548" s="82" t="s">
        <v>71</v>
      </c>
      <c r="H548" s="82" t="s">
        <v>1161</v>
      </c>
      <c r="I548" s="82"/>
      <c r="J548" s="82" t="s">
        <v>56</v>
      </c>
      <c r="K548" s="82" t="s">
        <v>1830</v>
      </c>
      <c r="L548" s="86" t="s">
        <v>1831</v>
      </c>
      <c r="M548" s="79"/>
      <c r="N548" s="84">
        <v>3</v>
      </c>
      <c r="O548" s="95"/>
      <c r="P548" s="80"/>
      <c r="Q548" s="84" t="s">
        <v>776</v>
      </c>
      <c r="R548" s="101">
        <v>44826</v>
      </c>
    </row>
    <row r="549" spans="1:19" ht="37.15" hidden="1" customHeight="1">
      <c r="A549" s="90" t="s">
        <v>1832</v>
      </c>
      <c r="B549" s="74" t="s">
        <v>47</v>
      </c>
      <c r="C549" s="75"/>
      <c r="D549" s="76" t="s">
        <v>39</v>
      </c>
      <c r="E549" s="77">
        <v>44816</v>
      </c>
      <c r="F549" s="77">
        <v>44846</v>
      </c>
      <c r="G549" s="74" t="s">
        <v>71</v>
      </c>
      <c r="H549" s="74" t="s">
        <v>1833</v>
      </c>
      <c r="I549" s="74"/>
      <c r="J549" s="74" t="s">
        <v>56</v>
      </c>
      <c r="K549" s="74" t="s">
        <v>1834</v>
      </c>
      <c r="L549" s="78" t="s">
        <v>1835</v>
      </c>
      <c r="M549" s="79"/>
      <c r="N549" s="76">
        <v>3</v>
      </c>
      <c r="O549" s="95"/>
      <c r="P549" s="80"/>
      <c r="Q549" s="76" t="s">
        <v>776</v>
      </c>
      <c r="R549" s="100">
        <v>44823</v>
      </c>
    </row>
    <row r="550" spans="1:19" ht="45" hidden="1">
      <c r="A550" s="89" t="s">
        <v>1836</v>
      </c>
      <c r="B550" s="82" t="s">
        <v>38</v>
      </c>
      <c r="C550" s="83"/>
      <c r="D550" s="84" t="s">
        <v>39</v>
      </c>
      <c r="E550" s="85">
        <v>44820</v>
      </c>
      <c r="F550" s="85">
        <v>44850</v>
      </c>
      <c r="G550" s="82" t="s">
        <v>493</v>
      </c>
      <c r="H550" s="82" t="s">
        <v>1712</v>
      </c>
      <c r="I550" s="82"/>
      <c r="J550" s="82" t="s">
        <v>493</v>
      </c>
      <c r="K550" s="82" t="s">
        <v>1837</v>
      </c>
      <c r="L550" s="86" t="s">
        <v>1838</v>
      </c>
      <c r="M550" s="79"/>
      <c r="N550" s="84">
        <v>3</v>
      </c>
      <c r="O550" s="95"/>
      <c r="P550" s="80"/>
      <c r="Q550" s="84" t="s">
        <v>776</v>
      </c>
      <c r="R550" s="129" t="s">
        <v>1839</v>
      </c>
      <c r="S550" s="123"/>
    </row>
    <row r="551" spans="1:19" ht="37.15" hidden="1" customHeight="1">
      <c r="A551" s="90" t="s">
        <v>1840</v>
      </c>
      <c r="B551" s="74" t="s">
        <v>47</v>
      </c>
      <c r="C551" s="75"/>
      <c r="D551" s="76" t="s">
        <v>39</v>
      </c>
      <c r="E551" s="77">
        <v>44820</v>
      </c>
      <c r="F551" s="77">
        <v>44850</v>
      </c>
      <c r="G551" s="74" t="s">
        <v>279</v>
      </c>
      <c r="H551" s="74" t="s">
        <v>1841</v>
      </c>
      <c r="I551" s="74"/>
      <c r="J551" s="74" t="s">
        <v>56</v>
      </c>
      <c r="K551" s="74" t="s">
        <v>1842</v>
      </c>
      <c r="L551" s="78" t="s">
        <v>1843</v>
      </c>
      <c r="M551" s="79"/>
      <c r="N551" s="76">
        <v>3</v>
      </c>
      <c r="O551" s="95"/>
      <c r="P551" s="80"/>
      <c r="Q551" s="76" t="s">
        <v>776</v>
      </c>
      <c r="R551" s="100">
        <v>44823</v>
      </c>
    </row>
    <row r="552" spans="1:19" ht="37.15" customHeight="1">
      <c r="A552" s="89" t="s">
        <v>1844</v>
      </c>
      <c r="B552" s="82" t="s">
        <v>53</v>
      </c>
      <c r="C552" s="83"/>
      <c r="D552" s="84" t="s">
        <v>39</v>
      </c>
      <c r="E552" s="85">
        <v>44824</v>
      </c>
      <c r="F552" s="85">
        <v>44915</v>
      </c>
      <c r="G552" s="82" t="s">
        <v>71</v>
      </c>
      <c r="H552" s="82" t="s">
        <v>1500</v>
      </c>
      <c r="I552" s="82"/>
      <c r="J552" s="82" t="s">
        <v>98</v>
      </c>
      <c r="K552" s="82" t="s">
        <v>42</v>
      </c>
      <c r="L552" s="86" t="s">
        <v>1845</v>
      </c>
      <c r="M552" s="79"/>
      <c r="N552" s="84">
        <v>3</v>
      </c>
      <c r="O552" s="95"/>
      <c r="P552" s="80"/>
      <c r="Q552" s="84"/>
      <c r="R552" s="101"/>
    </row>
    <row r="553" spans="1:19" ht="60" hidden="1">
      <c r="A553" s="22" t="s">
        <v>1846</v>
      </c>
      <c r="B553" s="74" t="s">
        <v>38</v>
      </c>
      <c r="C553" s="75"/>
      <c r="D553" s="76" t="s">
        <v>39</v>
      </c>
      <c r="E553" s="77"/>
      <c r="F553" s="77"/>
      <c r="G553" s="74" t="s">
        <v>108</v>
      </c>
      <c r="H553" s="74" t="s">
        <v>1847</v>
      </c>
      <c r="I553" s="74"/>
      <c r="J553" s="74" t="s">
        <v>81</v>
      </c>
      <c r="K553" s="74" t="s">
        <v>1848</v>
      </c>
      <c r="L553" s="78" t="s">
        <v>1849</v>
      </c>
      <c r="M553" s="79"/>
      <c r="N553" s="76"/>
      <c r="O553" s="95"/>
      <c r="P553" s="80"/>
      <c r="Q553" s="76" t="s">
        <v>42</v>
      </c>
      <c r="R553" s="130" t="s">
        <v>42</v>
      </c>
    </row>
    <row r="554" spans="1:19" ht="37.15" customHeight="1">
      <c r="A554" s="89" t="s">
        <v>1850</v>
      </c>
      <c r="B554" s="82" t="s">
        <v>53</v>
      </c>
      <c r="C554" s="83"/>
      <c r="D554" s="84" t="s">
        <v>39</v>
      </c>
      <c r="E554" s="85">
        <v>44827</v>
      </c>
      <c r="F554" s="85">
        <v>44888</v>
      </c>
      <c r="G554" s="82" t="s">
        <v>1851</v>
      </c>
      <c r="H554" s="82" t="s">
        <v>1852</v>
      </c>
      <c r="I554" s="82"/>
      <c r="J554" s="82" t="s">
        <v>1570</v>
      </c>
      <c r="K554" s="82" t="s">
        <v>42</v>
      </c>
      <c r="L554" s="86" t="s">
        <v>1853</v>
      </c>
      <c r="M554" s="79"/>
      <c r="N554" s="84">
        <v>3</v>
      </c>
      <c r="O554" s="95"/>
      <c r="P554" s="80"/>
      <c r="Q554" s="84"/>
      <c r="R554" s="101"/>
    </row>
    <row r="555" spans="1:19" ht="37.15" hidden="1" customHeight="1">
      <c r="A555" s="90" t="s">
        <v>1854</v>
      </c>
      <c r="B555" s="74" t="s">
        <v>47</v>
      </c>
      <c r="C555" s="75"/>
      <c r="D555" s="76" t="s">
        <v>39</v>
      </c>
      <c r="E555" s="77">
        <v>44830</v>
      </c>
      <c r="F555" s="77">
        <v>44860</v>
      </c>
      <c r="G555" s="74" t="s">
        <v>71</v>
      </c>
      <c r="H555" s="74" t="s">
        <v>1855</v>
      </c>
      <c r="I555" s="74" t="s">
        <v>102</v>
      </c>
      <c r="J555" s="74" t="s">
        <v>102</v>
      </c>
      <c r="K555" s="74" t="s">
        <v>1856</v>
      </c>
      <c r="L555" s="78" t="s">
        <v>1857</v>
      </c>
      <c r="M555" s="79"/>
      <c r="N555" s="76">
        <v>3</v>
      </c>
      <c r="O555" s="95"/>
      <c r="P555" s="80"/>
      <c r="Q555" s="76" t="s">
        <v>776</v>
      </c>
      <c r="R555" s="100">
        <v>44834</v>
      </c>
    </row>
    <row r="556" spans="1:19" ht="37.15" hidden="1" customHeight="1">
      <c r="A556" s="89" t="s">
        <v>1858</v>
      </c>
      <c r="B556" s="82" t="s">
        <v>47</v>
      </c>
      <c r="C556" s="83"/>
      <c r="D556" s="84" t="s">
        <v>39</v>
      </c>
      <c r="E556" s="85">
        <v>44830</v>
      </c>
      <c r="F556" s="85">
        <v>44860</v>
      </c>
      <c r="G556" s="82" t="s">
        <v>71</v>
      </c>
      <c r="H556" s="82" t="s">
        <v>1859</v>
      </c>
      <c r="I556" s="82" t="s">
        <v>98</v>
      </c>
      <c r="J556" s="82" t="s">
        <v>56</v>
      </c>
      <c r="K556" s="82" t="s">
        <v>1860</v>
      </c>
      <c r="L556" s="86" t="s">
        <v>1861</v>
      </c>
      <c r="M556" s="79"/>
      <c r="N556" s="84">
        <v>3</v>
      </c>
      <c r="O556" s="95"/>
      <c r="P556" s="80"/>
      <c r="Q556" s="84" t="s">
        <v>776</v>
      </c>
      <c r="R556" s="101">
        <v>44834</v>
      </c>
    </row>
    <row r="557" spans="1:19" ht="37.15" customHeight="1">
      <c r="A557" s="90" t="s">
        <v>1862</v>
      </c>
      <c r="B557" s="74" t="s">
        <v>53</v>
      </c>
      <c r="C557" s="75"/>
      <c r="D557" s="76" t="s">
        <v>39</v>
      </c>
      <c r="E557" s="77">
        <v>44831</v>
      </c>
      <c r="F557" s="77" t="s">
        <v>1863</v>
      </c>
      <c r="G557" s="74" t="s">
        <v>252</v>
      </c>
      <c r="H557" s="74" t="s">
        <v>1864</v>
      </c>
      <c r="I557" s="74"/>
      <c r="J557" s="74" t="s">
        <v>56</v>
      </c>
      <c r="K557" s="74" t="s">
        <v>42</v>
      </c>
      <c r="L557" s="78" t="s">
        <v>1865</v>
      </c>
      <c r="M557" s="79"/>
      <c r="N557" s="76">
        <v>2</v>
      </c>
      <c r="O557" s="95"/>
      <c r="P557" s="80"/>
      <c r="Q557" s="76"/>
      <c r="R557" s="100"/>
    </row>
    <row r="558" spans="1:19" ht="37.15" customHeight="1">
      <c r="A558" s="89" t="s">
        <v>1866</v>
      </c>
      <c r="B558" s="82" t="s">
        <v>53</v>
      </c>
      <c r="C558" s="83"/>
      <c r="D558" s="84" t="s">
        <v>39</v>
      </c>
      <c r="E558" s="85">
        <v>44831</v>
      </c>
      <c r="F558" s="85" t="s">
        <v>1863</v>
      </c>
      <c r="G558" s="82" t="s">
        <v>252</v>
      </c>
      <c r="H558" s="82" t="s">
        <v>1867</v>
      </c>
      <c r="I558" s="82"/>
      <c r="J558" s="82" t="s">
        <v>56</v>
      </c>
      <c r="K558" s="82" t="s">
        <v>42</v>
      </c>
      <c r="L558" s="86" t="s">
        <v>858</v>
      </c>
      <c r="M558" s="79"/>
      <c r="N558" s="84">
        <v>2</v>
      </c>
      <c r="O558" s="95"/>
      <c r="P558" s="80"/>
      <c r="Q558" s="84" t="s">
        <v>776</v>
      </c>
      <c r="R558" s="101"/>
    </row>
    <row r="559" spans="1:19" ht="37.15" customHeight="1">
      <c r="A559" s="90" t="s">
        <v>1868</v>
      </c>
      <c r="B559" s="74" t="s">
        <v>53</v>
      </c>
      <c r="C559" s="75"/>
      <c r="D559" s="76" t="s">
        <v>39</v>
      </c>
      <c r="E559" s="77">
        <v>44831</v>
      </c>
      <c r="F559" s="77">
        <v>44861</v>
      </c>
      <c r="G559" s="74" t="s">
        <v>252</v>
      </c>
      <c r="H559" s="74" t="s">
        <v>1869</v>
      </c>
      <c r="I559" s="74"/>
      <c r="J559" s="74" t="s">
        <v>56</v>
      </c>
      <c r="K559" s="74" t="s">
        <v>42</v>
      </c>
      <c r="L559" s="76" t="s">
        <v>1870</v>
      </c>
      <c r="M559" s="79"/>
      <c r="N559" s="76"/>
      <c r="O559" s="95"/>
      <c r="P559" s="80"/>
      <c r="Q559" s="76"/>
      <c r="R559" s="100"/>
    </row>
    <row r="560" spans="1:19" ht="37.15" hidden="1" customHeight="1">
      <c r="A560" s="89" t="s">
        <v>1871</v>
      </c>
      <c r="B560" s="82" t="s">
        <v>38</v>
      </c>
      <c r="C560" s="83"/>
      <c r="D560" s="84" t="s">
        <v>39</v>
      </c>
      <c r="E560" s="85">
        <v>44837</v>
      </c>
      <c r="F560" s="85">
        <v>44868</v>
      </c>
      <c r="G560" s="82" t="s">
        <v>493</v>
      </c>
      <c r="H560" s="82" t="s">
        <v>1872</v>
      </c>
      <c r="I560" s="82"/>
      <c r="J560" s="82" t="s">
        <v>493</v>
      </c>
      <c r="K560" s="82" t="s">
        <v>42</v>
      </c>
      <c r="L560" s="86" t="s">
        <v>1873</v>
      </c>
      <c r="M560" s="79"/>
      <c r="N560" s="84">
        <v>5</v>
      </c>
      <c r="O560" s="95"/>
      <c r="P560" s="80"/>
      <c r="Q560" s="84" t="s">
        <v>776</v>
      </c>
      <c r="R560" s="101">
        <v>44917</v>
      </c>
    </row>
    <row r="561" spans="1:19" ht="37.15" customHeight="1">
      <c r="A561" s="90" t="s">
        <v>1874</v>
      </c>
      <c r="B561" s="74" t="s">
        <v>53</v>
      </c>
      <c r="C561" s="75"/>
      <c r="D561" s="76" t="s">
        <v>39</v>
      </c>
      <c r="E561" s="77">
        <v>44837</v>
      </c>
      <c r="F561" s="77">
        <v>44868</v>
      </c>
      <c r="G561" s="74" t="s">
        <v>71</v>
      </c>
      <c r="H561" s="74" t="s">
        <v>1875</v>
      </c>
      <c r="I561" s="74"/>
      <c r="J561" s="74" t="s">
        <v>1876</v>
      </c>
      <c r="K561" s="74" t="s">
        <v>42</v>
      </c>
      <c r="L561" s="76" t="s">
        <v>1877</v>
      </c>
      <c r="M561" s="79"/>
      <c r="N561" s="76">
        <v>3</v>
      </c>
      <c r="O561" s="95"/>
      <c r="P561" s="80"/>
      <c r="Q561" s="76"/>
      <c r="R561" s="100"/>
    </row>
    <row r="562" spans="1:19" ht="37.15" customHeight="1">
      <c r="A562" s="89" t="s">
        <v>1878</v>
      </c>
      <c r="B562" s="82" t="s">
        <v>53</v>
      </c>
      <c r="C562" s="83"/>
      <c r="D562" s="84" t="s">
        <v>39</v>
      </c>
      <c r="E562" s="85">
        <v>44840</v>
      </c>
      <c r="F562" s="85">
        <v>44871</v>
      </c>
      <c r="G562" s="82" t="s">
        <v>71</v>
      </c>
      <c r="H562" s="82" t="s">
        <v>599</v>
      </c>
      <c r="I562" s="82"/>
      <c r="J562" s="82" t="s">
        <v>316</v>
      </c>
      <c r="K562" s="82" t="s">
        <v>42</v>
      </c>
      <c r="L562" s="86" t="s">
        <v>1879</v>
      </c>
      <c r="M562" s="79"/>
      <c r="N562" s="84">
        <v>3</v>
      </c>
      <c r="O562" s="95"/>
      <c r="P562" s="80"/>
      <c r="Q562" s="84"/>
      <c r="R562" s="101"/>
    </row>
    <row r="563" spans="1:19" ht="37.15" hidden="1" customHeight="1">
      <c r="A563" s="90" t="s">
        <v>1880</v>
      </c>
      <c r="B563" s="74" t="s">
        <v>38</v>
      </c>
      <c r="C563" s="75"/>
      <c r="D563" s="76" t="s">
        <v>39</v>
      </c>
      <c r="E563" s="77">
        <v>44845</v>
      </c>
      <c r="F563" s="77">
        <v>44876</v>
      </c>
      <c r="G563" s="74" t="s">
        <v>71</v>
      </c>
      <c r="H563" s="74" t="s">
        <v>1881</v>
      </c>
      <c r="I563" s="74"/>
      <c r="J563" s="74" t="s">
        <v>1882</v>
      </c>
      <c r="K563" s="74" t="s">
        <v>1883</v>
      </c>
      <c r="L563" s="78" t="s">
        <v>1884</v>
      </c>
      <c r="M563" s="79"/>
      <c r="N563" s="76">
        <v>3</v>
      </c>
      <c r="O563" s="95"/>
      <c r="P563" s="80"/>
      <c r="Q563" s="76" t="s">
        <v>776</v>
      </c>
      <c r="R563" s="100">
        <v>44880</v>
      </c>
    </row>
    <row r="564" spans="1:19" ht="37.15" hidden="1" customHeight="1">
      <c r="A564" s="89" t="s">
        <v>1885</v>
      </c>
      <c r="B564" s="82" t="s">
        <v>47</v>
      </c>
      <c r="C564" s="83"/>
      <c r="D564" s="84" t="s">
        <v>39</v>
      </c>
      <c r="E564" s="85">
        <v>44845</v>
      </c>
      <c r="F564" s="85">
        <v>44876</v>
      </c>
      <c r="G564" s="82" t="s">
        <v>71</v>
      </c>
      <c r="H564" s="82" t="s">
        <v>1504</v>
      </c>
      <c r="I564" s="82" t="s">
        <v>1886</v>
      </c>
      <c r="J564" s="82" t="s">
        <v>81</v>
      </c>
      <c r="K564" s="82" t="s">
        <v>1883</v>
      </c>
      <c r="L564" s="86" t="s">
        <v>1887</v>
      </c>
      <c r="M564" s="79"/>
      <c r="N564" s="84">
        <v>3</v>
      </c>
      <c r="O564" s="95"/>
      <c r="P564" s="80"/>
      <c r="Q564" s="84" t="s">
        <v>776</v>
      </c>
      <c r="R564" s="101">
        <v>45021</v>
      </c>
      <c r="S564" s="131"/>
    </row>
    <row r="565" spans="1:19" ht="37.15" customHeight="1">
      <c r="A565" s="90" t="s">
        <v>1888</v>
      </c>
      <c r="B565" s="74" t="s">
        <v>53</v>
      </c>
      <c r="C565" s="75"/>
      <c r="D565" s="76" t="s">
        <v>39</v>
      </c>
      <c r="E565" s="77">
        <v>44846</v>
      </c>
      <c r="F565" s="77">
        <v>44907</v>
      </c>
      <c r="G565" s="74" t="s">
        <v>252</v>
      </c>
      <c r="H565" s="74" t="s">
        <v>1889</v>
      </c>
      <c r="I565" s="74"/>
      <c r="J565" s="74" t="s">
        <v>493</v>
      </c>
      <c r="K565" s="74" t="s">
        <v>42</v>
      </c>
      <c r="L565" s="78" t="s">
        <v>1890</v>
      </c>
      <c r="M565" s="79"/>
      <c r="N565" s="76">
        <v>4</v>
      </c>
      <c r="O565" s="95"/>
      <c r="P565" s="80"/>
      <c r="Q565" s="76" t="s">
        <v>776</v>
      </c>
      <c r="R565" s="100">
        <v>44880</v>
      </c>
      <c r="S565" s="123"/>
    </row>
    <row r="566" spans="1:19" ht="37.15" customHeight="1">
      <c r="A566" s="89" t="s">
        <v>1891</v>
      </c>
      <c r="B566" s="82" t="s">
        <v>53</v>
      </c>
      <c r="C566" s="83"/>
      <c r="D566" s="84" t="s">
        <v>39</v>
      </c>
      <c r="E566" s="85">
        <v>44847</v>
      </c>
      <c r="F566" s="85" t="s">
        <v>42</v>
      </c>
      <c r="G566" s="82" t="s">
        <v>252</v>
      </c>
      <c r="H566" s="82" t="s">
        <v>1892</v>
      </c>
      <c r="I566" s="82"/>
      <c r="J566" s="82" t="s">
        <v>493</v>
      </c>
      <c r="K566" s="82" t="s">
        <v>42</v>
      </c>
      <c r="L566" s="86" t="s">
        <v>1893</v>
      </c>
      <c r="M566" s="79"/>
      <c r="N566" s="84">
        <v>3</v>
      </c>
      <c r="O566" s="95"/>
      <c r="P566" s="80"/>
      <c r="Q566" s="84"/>
      <c r="R566" s="101"/>
    </row>
    <row r="567" spans="1:19" ht="42.75" customHeight="1">
      <c r="A567" s="90" t="s">
        <v>1894</v>
      </c>
      <c r="B567" s="74" t="s">
        <v>53</v>
      </c>
      <c r="C567" s="75"/>
      <c r="D567" s="76" t="s">
        <v>39</v>
      </c>
      <c r="E567" s="77">
        <v>44847</v>
      </c>
      <c r="F567" s="77">
        <v>44878</v>
      </c>
      <c r="G567" s="74" t="s">
        <v>252</v>
      </c>
      <c r="H567" s="74" t="s">
        <v>1895</v>
      </c>
      <c r="I567" s="74"/>
      <c r="J567" s="74" t="s">
        <v>1896</v>
      </c>
      <c r="K567" s="74" t="s">
        <v>42</v>
      </c>
      <c r="L567" s="78" t="s">
        <v>1897</v>
      </c>
      <c r="M567" s="79"/>
      <c r="N567" s="76">
        <v>1</v>
      </c>
      <c r="O567" s="95"/>
      <c r="P567" s="80"/>
      <c r="Q567" s="76"/>
      <c r="R567" s="100"/>
    </row>
    <row r="568" spans="1:19" ht="37.15" hidden="1" customHeight="1">
      <c r="A568" s="89" t="s">
        <v>1898</v>
      </c>
      <c r="B568" s="82" t="s">
        <v>47</v>
      </c>
      <c r="C568" s="83"/>
      <c r="D568" s="84" t="s">
        <v>39</v>
      </c>
      <c r="E568" s="85">
        <v>44853</v>
      </c>
      <c r="F568" s="85">
        <v>44884</v>
      </c>
      <c r="G568" s="82" t="s">
        <v>71</v>
      </c>
      <c r="H568" s="82" t="s">
        <v>1899</v>
      </c>
      <c r="I568" s="82" t="s">
        <v>1900</v>
      </c>
      <c r="J568" s="82" t="s">
        <v>711</v>
      </c>
      <c r="K568" s="82" t="s">
        <v>452</v>
      </c>
      <c r="L568" s="86" t="s">
        <v>1901</v>
      </c>
      <c r="M568" s="79"/>
      <c r="N568" s="84">
        <v>3</v>
      </c>
      <c r="O568" s="95"/>
      <c r="P568" s="80"/>
      <c r="Q568" s="84" t="s">
        <v>776</v>
      </c>
      <c r="R568" s="101">
        <v>44862</v>
      </c>
    </row>
    <row r="569" spans="1:19" ht="37.15" hidden="1" customHeight="1">
      <c r="A569" s="90" t="s">
        <v>1902</v>
      </c>
      <c r="B569" s="74" t="s">
        <v>47</v>
      </c>
      <c r="C569" s="75"/>
      <c r="D569" s="76" t="s">
        <v>39</v>
      </c>
      <c r="E569" s="77">
        <v>44853</v>
      </c>
      <c r="F569" s="77">
        <v>44884</v>
      </c>
      <c r="G569" s="74" t="s">
        <v>71</v>
      </c>
      <c r="H569" s="74" t="s">
        <v>1504</v>
      </c>
      <c r="I569" s="74" t="s">
        <v>102</v>
      </c>
      <c r="J569" s="74" t="s">
        <v>102</v>
      </c>
      <c r="K569" s="74" t="s">
        <v>1903</v>
      </c>
      <c r="L569" s="78" t="s">
        <v>1904</v>
      </c>
      <c r="M569" s="79"/>
      <c r="N569" s="76">
        <v>3</v>
      </c>
      <c r="O569" s="95"/>
      <c r="P569" s="80"/>
      <c r="Q569" s="76" t="s">
        <v>776</v>
      </c>
      <c r="R569" s="100">
        <v>44876</v>
      </c>
    </row>
    <row r="570" spans="1:19" ht="37.15" hidden="1" customHeight="1">
      <c r="A570" s="89" t="s">
        <v>1905</v>
      </c>
      <c r="B570" s="82" t="s">
        <v>38</v>
      </c>
      <c r="C570" s="83"/>
      <c r="D570" s="84" t="s">
        <v>39</v>
      </c>
      <c r="E570" s="85">
        <v>44853</v>
      </c>
      <c r="F570" s="85">
        <v>44884</v>
      </c>
      <c r="G570" s="82" t="s">
        <v>71</v>
      </c>
      <c r="H570" s="82" t="s">
        <v>1906</v>
      </c>
      <c r="I570" s="82"/>
      <c r="J570" s="82" t="s">
        <v>56</v>
      </c>
      <c r="K570" s="82" t="s">
        <v>1903</v>
      </c>
      <c r="L570" s="86" t="s">
        <v>1907</v>
      </c>
      <c r="M570" s="79"/>
      <c r="N570" s="84">
        <v>3</v>
      </c>
      <c r="O570" s="95"/>
      <c r="P570" s="80"/>
      <c r="Q570" s="84" t="s">
        <v>776</v>
      </c>
      <c r="R570" s="101">
        <v>44866</v>
      </c>
    </row>
    <row r="571" spans="1:19" ht="37.15" hidden="1" customHeight="1">
      <c r="A571" s="90" t="s">
        <v>1908</v>
      </c>
      <c r="B571" s="74" t="s">
        <v>47</v>
      </c>
      <c r="C571" s="75"/>
      <c r="D571" s="76" t="s">
        <v>39</v>
      </c>
      <c r="E571" s="77">
        <v>44853</v>
      </c>
      <c r="F571" s="77">
        <v>44884</v>
      </c>
      <c r="G571" s="74" t="s">
        <v>71</v>
      </c>
      <c r="H571" s="74" t="s">
        <v>1504</v>
      </c>
      <c r="I571" s="74" t="s">
        <v>1909</v>
      </c>
      <c r="J571" s="74" t="s">
        <v>1910</v>
      </c>
      <c r="K571" s="74" t="s">
        <v>1903</v>
      </c>
      <c r="L571" s="78" t="s">
        <v>1911</v>
      </c>
      <c r="M571" s="79"/>
      <c r="N571" s="76">
        <v>3</v>
      </c>
      <c r="O571" s="95"/>
      <c r="P571" s="80"/>
      <c r="Q571" s="76" t="s">
        <v>776</v>
      </c>
      <c r="R571" s="100">
        <v>44862</v>
      </c>
    </row>
    <row r="572" spans="1:19" ht="37.15" hidden="1" customHeight="1">
      <c r="A572" s="89" t="s">
        <v>1912</v>
      </c>
      <c r="B572" s="82" t="s">
        <v>38</v>
      </c>
      <c r="C572" s="83"/>
      <c r="D572" s="84" t="s">
        <v>39</v>
      </c>
      <c r="E572" s="85">
        <v>44859</v>
      </c>
      <c r="F572" s="85">
        <v>44890</v>
      </c>
      <c r="G572" s="82" t="s">
        <v>108</v>
      </c>
      <c r="H572" s="82" t="s">
        <v>109</v>
      </c>
      <c r="I572" s="82"/>
      <c r="J572" s="82" t="s">
        <v>56</v>
      </c>
      <c r="K572" s="82" t="s">
        <v>1913</v>
      </c>
      <c r="L572" s="86" t="s">
        <v>1914</v>
      </c>
      <c r="M572" s="79"/>
      <c r="N572" s="84">
        <v>3</v>
      </c>
      <c r="O572" s="95"/>
      <c r="P572" s="80"/>
      <c r="Q572" s="84" t="s">
        <v>776</v>
      </c>
      <c r="R572" s="101">
        <v>44880</v>
      </c>
    </row>
    <row r="573" spans="1:19" ht="37.15" hidden="1" customHeight="1">
      <c r="A573" s="90" t="s">
        <v>1915</v>
      </c>
      <c r="B573" s="74" t="s">
        <v>38</v>
      </c>
      <c r="C573" s="75"/>
      <c r="D573" s="76" t="s">
        <v>39</v>
      </c>
      <c r="E573" s="77">
        <v>44860</v>
      </c>
      <c r="F573" s="77">
        <v>44891</v>
      </c>
      <c r="G573" s="74" t="s">
        <v>71</v>
      </c>
      <c r="H573" s="74" t="s">
        <v>1916</v>
      </c>
      <c r="I573" s="74"/>
      <c r="J573" s="74" t="s">
        <v>81</v>
      </c>
      <c r="K573" s="74" t="s">
        <v>1917</v>
      </c>
      <c r="L573" s="78" t="s">
        <v>1918</v>
      </c>
      <c r="M573" s="79"/>
      <c r="N573" s="76">
        <v>3</v>
      </c>
      <c r="O573" s="95"/>
      <c r="P573" s="80"/>
      <c r="Q573" s="76" t="s">
        <v>776</v>
      </c>
      <c r="R573" s="23" t="s">
        <v>1919</v>
      </c>
      <c r="S573" s="6"/>
    </row>
    <row r="574" spans="1:19" ht="37.15" hidden="1" customHeight="1">
      <c r="A574" s="89" t="s">
        <v>1920</v>
      </c>
      <c r="B574" s="82" t="s">
        <v>47</v>
      </c>
      <c r="C574" s="83"/>
      <c r="D574" s="84" t="s">
        <v>39</v>
      </c>
      <c r="E574" s="85">
        <v>44865</v>
      </c>
      <c r="F574" s="85">
        <v>44895</v>
      </c>
      <c r="G574" s="82" t="s">
        <v>71</v>
      </c>
      <c r="H574" s="82" t="s">
        <v>1921</v>
      </c>
      <c r="I574" s="82" t="s">
        <v>1922</v>
      </c>
      <c r="J574" s="82" t="s">
        <v>56</v>
      </c>
      <c r="K574" s="82" t="s">
        <v>1923</v>
      </c>
      <c r="L574" s="86" t="s">
        <v>1924</v>
      </c>
      <c r="M574" s="79"/>
      <c r="N574" s="84">
        <v>3</v>
      </c>
      <c r="O574" s="95"/>
      <c r="P574" s="80"/>
      <c r="Q574" s="84" t="s">
        <v>776</v>
      </c>
      <c r="R574" s="101">
        <v>44876</v>
      </c>
    </row>
    <row r="575" spans="1:19" ht="37.15" customHeight="1">
      <c r="A575" s="90" t="s">
        <v>1925</v>
      </c>
      <c r="B575" s="74" t="s">
        <v>53</v>
      </c>
      <c r="C575" s="75"/>
      <c r="D575" s="76" t="s">
        <v>39</v>
      </c>
      <c r="E575" s="77">
        <v>44867</v>
      </c>
      <c r="F575" s="77" t="s">
        <v>42</v>
      </c>
      <c r="G575" s="74" t="s">
        <v>71</v>
      </c>
      <c r="H575" s="74" t="s">
        <v>1926</v>
      </c>
      <c r="I575" s="74"/>
      <c r="J575" s="74" t="s">
        <v>56</v>
      </c>
      <c r="K575" s="74" t="s">
        <v>42</v>
      </c>
      <c r="L575" s="78" t="s">
        <v>1927</v>
      </c>
      <c r="M575" s="79"/>
      <c r="N575" s="76">
        <v>4</v>
      </c>
      <c r="O575" s="95"/>
      <c r="P575" s="80"/>
      <c r="Q575" s="76" t="s">
        <v>776</v>
      </c>
      <c r="R575" s="100"/>
    </row>
    <row r="576" spans="1:19" ht="37.15" customHeight="1">
      <c r="A576" s="89" t="s">
        <v>1928</v>
      </c>
      <c r="B576" s="82" t="s">
        <v>53</v>
      </c>
      <c r="C576" s="83"/>
      <c r="D576" s="84" t="s">
        <v>39</v>
      </c>
      <c r="E576" s="85">
        <v>44872</v>
      </c>
      <c r="F576" s="85">
        <v>44902</v>
      </c>
      <c r="G576" s="82" t="s">
        <v>252</v>
      </c>
      <c r="H576" s="82" t="s">
        <v>1929</v>
      </c>
      <c r="I576" s="82"/>
      <c r="J576" s="82" t="s">
        <v>56</v>
      </c>
      <c r="K576" s="82" t="s">
        <v>42</v>
      </c>
      <c r="L576" s="86" t="s">
        <v>1930</v>
      </c>
      <c r="M576" s="79"/>
      <c r="N576" s="84">
        <v>3</v>
      </c>
      <c r="O576" s="95"/>
      <c r="P576" s="80"/>
      <c r="Q576" s="84"/>
      <c r="R576" s="101"/>
    </row>
    <row r="577" spans="1:18" ht="37.15" hidden="1" customHeight="1">
      <c r="A577" s="90" t="s">
        <v>1931</v>
      </c>
      <c r="B577" s="74" t="s">
        <v>47</v>
      </c>
      <c r="C577" s="75"/>
      <c r="D577" s="76" t="s">
        <v>39</v>
      </c>
      <c r="E577" s="77">
        <v>44879</v>
      </c>
      <c r="F577" s="77">
        <v>44909</v>
      </c>
      <c r="G577" s="74" t="s">
        <v>71</v>
      </c>
      <c r="H577" s="74" t="s">
        <v>1932</v>
      </c>
      <c r="I577" s="74" t="s">
        <v>1933</v>
      </c>
      <c r="J577" s="74" t="s">
        <v>56</v>
      </c>
      <c r="K577" s="74" t="s">
        <v>1934</v>
      </c>
      <c r="L577" s="78" t="s">
        <v>1935</v>
      </c>
      <c r="M577" s="79"/>
      <c r="N577" s="76">
        <v>3</v>
      </c>
      <c r="O577" s="95"/>
      <c r="P577" s="80"/>
      <c r="Q577" s="76" t="s">
        <v>776</v>
      </c>
      <c r="R577" s="100">
        <v>44881</v>
      </c>
    </row>
    <row r="578" spans="1:18" ht="37.15" customHeight="1">
      <c r="A578" s="89" t="s">
        <v>1936</v>
      </c>
      <c r="B578" s="82" t="s">
        <v>53</v>
      </c>
      <c r="C578" s="83"/>
      <c r="D578" s="84" t="s">
        <v>39</v>
      </c>
      <c r="E578" s="85">
        <v>44879</v>
      </c>
      <c r="F578" s="85">
        <v>44940</v>
      </c>
      <c r="G578" s="82" t="s">
        <v>71</v>
      </c>
      <c r="H578" s="82" t="s">
        <v>1937</v>
      </c>
      <c r="I578" s="82"/>
      <c r="J578" s="82" t="s">
        <v>1570</v>
      </c>
      <c r="K578" s="82" t="s">
        <v>42</v>
      </c>
      <c r="L578" s="86" t="s">
        <v>1938</v>
      </c>
      <c r="M578" s="79"/>
      <c r="N578" s="84">
        <v>3</v>
      </c>
      <c r="O578" s="95"/>
      <c r="P578" s="80"/>
      <c r="Q578" s="84" t="s">
        <v>776</v>
      </c>
      <c r="R578" s="101"/>
    </row>
    <row r="579" spans="1:18" ht="37.15" customHeight="1">
      <c r="A579" s="90" t="s">
        <v>1939</v>
      </c>
      <c r="B579" s="74" t="s">
        <v>53</v>
      </c>
      <c r="C579" s="75"/>
      <c r="D579" s="76" t="s">
        <v>39</v>
      </c>
      <c r="E579" s="77">
        <v>44887</v>
      </c>
      <c r="F579" s="77">
        <v>44927</v>
      </c>
      <c r="G579" s="74" t="s">
        <v>71</v>
      </c>
      <c r="H579" s="74" t="s">
        <v>1940</v>
      </c>
      <c r="I579" s="74"/>
      <c r="J579" s="74" t="s">
        <v>56</v>
      </c>
      <c r="K579" s="74">
        <v>895640</v>
      </c>
      <c r="L579" s="78" t="s">
        <v>1941</v>
      </c>
      <c r="M579" s="79"/>
      <c r="N579" s="76">
        <v>3</v>
      </c>
      <c r="O579" s="95"/>
      <c r="P579" s="80"/>
      <c r="Q579" s="76"/>
      <c r="R579" s="100"/>
    </row>
    <row r="580" spans="1:18" ht="37.15" customHeight="1">
      <c r="A580" s="89" t="s">
        <v>1942</v>
      </c>
      <c r="B580" s="82" t="s">
        <v>53</v>
      </c>
      <c r="C580" s="83"/>
      <c r="D580" s="84" t="s">
        <v>39</v>
      </c>
      <c r="E580" s="85">
        <v>44887</v>
      </c>
      <c r="F580" s="85">
        <v>44927</v>
      </c>
      <c r="G580" s="82" t="s">
        <v>71</v>
      </c>
      <c r="H580" s="82" t="s">
        <v>1940</v>
      </c>
      <c r="I580" s="82"/>
      <c r="J580" s="82" t="s">
        <v>56</v>
      </c>
      <c r="K580" s="82">
        <v>512237</v>
      </c>
      <c r="L580" s="86" t="s">
        <v>1943</v>
      </c>
      <c r="M580" s="79"/>
      <c r="N580" s="84">
        <v>3</v>
      </c>
      <c r="O580" s="95"/>
      <c r="P580" s="80"/>
      <c r="Q580" s="84"/>
      <c r="R580" s="101"/>
    </row>
    <row r="581" spans="1:18" ht="37.15" customHeight="1">
      <c r="A581" s="90" t="s">
        <v>1944</v>
      </c>
      <c r="B581" s="74" t="s">
        <v>53</v>
      </c>
      <c r="C581" s="75"/>
      <c r="D581" s="76" t="s">
        <v>39</v>
      </c>
      <c r="E581" s="77">
        <v>44887</v>
      </c>
      <c r="F581" s="77">
        <v>44927</v>
      </c>
      <c r="G581" s="74" t="s">
        <v>71</v>
      </c>
      <c r="H581" s="74" t="s">
        <v>1945</v>
      </c>
      <c r="I581" s="74"/>
      <c r="J581" s="74" t="s">
        <v>56</v>
      </c>
      <c r="K581" s="74">
        <v>512239</v>
      </c>
      <c r="L581" s="78" t="s">
        <v>1946</v>
      </c>
      <c r="M581" s="79"/>
      <c r="N581" s="76">
        <v>3</v>
      </c>
      <c r="O581" s="95"/>
      <c r="P581" s="80"/>
      <c r="Q581" s="76"/>
      <c r="R581" s="100"/>
    </row>
    <row r="582" spans="1:18" ht="37.15" hidden="1" customHeight="1">
      <c r="A582" s="89" t="s">
        <v>1947</v>
      </c>
      <c r="B582" s="82" t="s">
        <v>38</v>
      </c>
      <c r="C582" s="83"/>
      <c r="D582" s="84" t="s">
        <v>39</v>
      </c>
      <c r="E582" s="85">
        <v>44888</v>
      </c>
      <c r="F582" s="85">
        <v>44918</v>
      </c>
      <c r="G582" s="82" t="s">
        <v>493</v>
      </c>
      <c r="H582" s="82" t="s">
        <v>1574</v>
      </c>
      <c r="I582" s="82"/>
      <c r="J582" s="84" t="s">
        <v>1948</v>
      </c>
      <c r="K582" s="82" t="s">
        <v>1949</v>
      </c>
      <c r="L582" s="86" t="s">
        <v>1950</v>
      </c>
      <c r="M582" s="79"/>
      <c r="N582" s="84">
        <v>5</v>
      </c>
      <c r="O582" s="95"/>
      <c r="P582" s="80"/>
      <c r="Q582" s="84" t="s">
        <v>776</v>
      </c>
      <c r="R582" s="101">
        <v>44888</v>
      </c>
    </row>
    <row r="583" spans="1:18" ht="37.15" hidden="1" customHeight="1">
      <c r="A583" s="90" t="s">
        <v>1951</v>
      </c>
      <c r="B583" s="74" t="s">
        <v>38</v>
      </c>
      <c r="C583" s="75"/>
      <c r="D583" s="76" t="s">
        <v>39</v>
      </c>
      <c r="E583" s="77">
        <v>44888</v>
      </c>
      <c r="F583" s="77">
        <v>44918</v>
      </c>
      <c r="G583" s="74" t="s">
        <v>252</v>
      </c>
      <c r="H583" s="74" t="s">
        <v>1952</v>
      </c>
      <c r="I583" s="74"/>
      <c r="J583" s="74" t="s">
        <v>1953</v>
      </c>
      <c r="K583" s="74" t="s">
        <v>42</v>
      </c>
      <c r="L583" s="78" t="s">
        <v>1954</v>
      </c>
      <c r="M583" s="79"/>
      <c r="N583" s="76">
        <v>3</v>
      </c>
      <c r="O583" s="95"/>
      <c r="P583" s="80"/>
      <c r="Q583" s="76" t="s">
        <v>776</v>
      </c>
      <c r="R583" s="100">
        <v>44888</v>
      </c>
    </row>
    <row r="584" spans="1:18" ht="37.15" customHeight="1">
      <c r="A584" s="89" t="s">
        <v>1955</v>
      </c>
      <c r="B584" s="82" t="s">
        <v>53</v>
      </c>
      <c r="C584" s="83"/>
      <c r="D584" s="84" t="s">
        <v>39</v>
      </c>
      <c r="E584" s="85">
        <v>44896</v>
      </c>
      <c r="F584" s="85">
        <v>44958</v>
      </c>
      <c r="G584" s="82" t="s">
        <v>71</v>
      </c>
      <c r="H584" s="82" t="s">
        <v>1956</v>
      </c>
      <c r="I584" s="82"/>
      <c r="J584" s="82" t="s">
        <v>56</v>
      </c>
      <c r="K584" s="82" t="s">
        <v>1957</v>
      </c>
      <c r="L584" s="86" t="s">
        <v>1958</v>
      </c>
      <c r="M584" s="79"/>
      <c r="N584" s="84">
        <v>3</v>
      </c>
      <c r="O584" s="95"/>
      <c r="P584" s="80"/>
      <c r="Q584" s="84"/>
      <c r="R584" s="101"/>
    </row>
    <row r="585" spans="1:18" ht="37.15" hidden="1" customHeight="1">
      <c r="A585" s="90" t="s">
        <v>1959</v>
      </c>
      <c r="B585" s="74" t="s">
        <v>38</v>
      </c>
      <c r="C585" s="75"/>
      <c r="D585" s="76" t="s">
        <v>39</v>
      </c>
      <c r="E585" s="77">
        <v>44901</v>
      </c>
      <c r="F585" s="77">
        <v>44932</v>
      </c>
      <c r="G585" s="74" t="s">
        <v>108</v>
      </c>
      <c r="H585" s="74" t="s">
        <v>1437</v>
      </c>
      <c r="I585" s="74"/>
      <c r="J585" s="74" t="s">
        <v>56</v>
      </c>
      <c r="K585" s="74" t="s">
        <v>1960</v>
      </c>
      <c r="L585" s="78" t="s">
        <v>1961</v>
      </c>
      <c r="M585" s="79"/>
      <c r="N585" s="76">
        <v>3</v>
      </c>
      <c r="O585" s="95"/>
      <c r="P585" s="80"/>
      <c r="Q585" s="76" t="s">
        <v>776</v>
      </c>
      <c r="R585" s="100">
        <v>44939</v>
      </c>
    </row>
    <row r="586" spans="1:18" ht="37.15" customHeight="1">
      <c r="A586" s="89" t="s">
        <v>1962</v>
      </c>
      <c r="B586" s="82" t="s">
        <v>53</v>
      </c>
      <c r="C586" s="83"/>
      <c r="D586" s="84" t="s">
        <v>39</v>
      </c>
      <c r="E586" s="85">
        <v>44903</v>
      </c>
      <c r="F586" s="85">
        <v>44934</v>
      </c>
      <c r="G586" s="82" t="s">
        <v>71</v>
      </c>
      <c r="H586" s="82" t="s">
        <v>1963</v>
      </c>
      <c r="I586" s="82"/>
      <c r="J586" s="82" t="s">
        <v>56</v>
      </c>
      <c r="K586" s="82" t="s">
        <v>1964</v>
      </c>
      <c r="L586" s="86" t="s">
        <v>1965</v>
      </c>
      <c r="M586" s="79"/>
      <c r="N586" s="84">
        <v>3</v>
      </c>
      <c r="O586" s="95"/>
      <c r="P586" s="80"/>
      <c r="Q586" s="84"/>
      <c r="R586" s="101"/>
    </row>
    <row r="587" spans="1:18" ht="37.15" customHeight="1">
      <c r="A587" s="90" t="s">
        <v>1966</v>
      </c>
      <c r="B587" s="74" t="s">
        <v>53</v>
      </c>
      <c r="C587" s="75"/>
      <c r="D587" s="76" t="s">
        <v>39</v>
      </c>
      <c r="E587" s="77">
        <v>44903</v>
      </c>
      <c r="F587" s="77">
        <v>44935</v>
      </c>
      <c r="G587" s="74" t="s">
        <v>71</v>
      </c>
      <c r="H587" s="74" t="s">
        <v>599</v>
      </c>
      <c r="I587" s="74"/>
      <c r="J587" s="74" t="s">
        <v>56</v>
      </c>
      <c r="K587" s="74" t="s">
        <v>1967</v>
      </c>
      <c r="L587" s="78" t="s">
        <v>1968</v>
      </c>
      <c r="M587" s="79"/>
      <c r="N587" s="76">
        <v>3</v>
      </c>
      <c r="O587" s="95"/>
      <c r="P587" s="80"/>
      <c r="Q587" s="76"/>
      <c r="R587" s="100"/>
    </row>
    <row r="588" spans="1:18" ht="37.15" customHeight="1">
      <c r="A588" s="89" t="s">
        <v>1969</v>
      </c>
      <c r="B588" s="82" t="s">
        <v>53</v>
      </c>
      <c r="C588" s="83"/>
      <c r="D588" s="84" t="s">
        <v>39</v>
      </c>
      <c r="E588" s="85">
        <v>44907</v>
      </c>
      <c r="F588" s="85">
        <v>45272</v>
      </c>
      <c r="G588" s="82" t="s">
        <v>71</v>
      </c>
      <c r="H588" s="82" t="s">
        <v>1970</v>
      </c>
      <c r="I588" s="82"/>
      <c r="J588" s="82" t="s">
        <v>56</v>
      </c>
      <c r="K588" s="82" t="s">
        <v>42</v>
      </c>
      <c r="L588" s="86" t="s">
        <v>1971</v>
      </c>
      <c r="M588" s="79"/>
      <c r="N588" s="84">
        <v>3</v>
      </c>
      <c r="O588" s="95"/>
      <c r="P588" s="80"/>
      <c r="Q588" s="84"/>
      <c r="R588" s="101"/>
    </row>
    <row r="589" spans="1:18" ht="37.15" customHeight="1">
      <c r="A589" s="90" t="s">
        <v>1972</v>
      </c>
      <c r="B589" s="74" t="s">
        <v>53</v>
      </c>
      <c r="C589" s="75"/>
      <c r="D589" s="76" t="s">
        <v>39</v>
      </c>
      <c r="E589" s="77">
        <v>44908</v>
      </c>
      <c r="F589" s="77">
        <v>45273</v>
      </c>
      <c r="G589" s="74" t="s">
        <v>71</v>
      </c>
      <c r="H589" s="74" t="s">
        <v>1973</v>
      </c>
      <c r="I589" s="74"/>
      <c r="J589" s="74" t="s">
        <v>56</v>
      </c>
      <c r="K589" s="74" t="s">
        <v>1974</v>
      </c>
      <c r="L589" s="78" t="s">
        <v>1975</v>
      </c>
      <c r="M589" s="79"/>
      <c r="N589" s="76">
        <v>3</v>
      </c>
      <c r="O589" s="95"/>
      <c r="P589" s="80"/>
      <c r="Q589" s="76"/>
      <c r="R589" s="100"/>
    </row>
    <row r="590" spans="1:18" ht="37.15" hidden="1" customHeight="1">
      <c r="A590" s="89" t="s">
        <v>1976</v>
      </c>
      <c r="B590" s="82" t="s">
        <v>47</v>
      </c>
      <c r="C590" s="83" t="s">
        <v>1977</v>
      </c>
      <c r="D590" s="84" t="s">
        <v>39</v>
      </c>
      <c r="E590" s="85">
        <v>44932</v>
      </c>
      <c r="F590" s="85">
        <v>44963</v>
      </c>
      <c r="G590" s="82" t="s">
        <v>71</v>
      </c>
      <c r="H590" s="82" t="s">
        <v>1504</v>
      </c>
      <c r="I590" s="82" t="s">
        <v>1900</v>
      </c>
      <c r="J590" s="84" t="s">
        <v>1978</v>
      </c>
      <c r="K590" s="82" t="s">
        <v>42</v>
      </c>
      <c r="L590" s="86" t="s">
        <v>1979</v>
      </c>
      <c r="M590" s="79"/>
      <c r="N590" s="84">
        <v>3</v>
      </c>
      <c r="O590" s="95"/>
      <c r="P590" s="80"/>
      <c r="Q590" s="84" t="s">
        <v>776</v>
      </c>
      <c r="R590" s="101">
        <v>44946</v>
      </c>
    </row>
    <row r="591" spans="1:18" ht="37.15" hidden="1" customHeight="1">
      <c r="A591" s="90" t="s">
        <v>1980</v>
      </c>
      <c r="B591" s="74" t="s">
        <v>47</v>
      </c>
      <c r="C591" s="75"/>
      <c r="D591" s="76" t="s">
        <v>117</v>
      </c>
      <c r="E591" s="77">
        <v>44935</v>
      </c>
      <c r="F591" s="77">
        <v>44966</v>
      </c>
      <c r="G591" s="74" t="s">
        <v>71</v>
      </c>
      <c r="H591" s="74" t="s">
        <v>1981</v>
      </c>
      <c r="I591" s="74"/>
      <c r="J591" s="74" t="s">
        <v>56</v>
      </c>
      <c r="K591" s="74" t="s">
        <v>1982</v>
      </c>
      <c r="L591" s="78" t="s">
        <v>1983</v>
      </c>
      <c r="M591" s="79"/>
      <c r="N591" s="76">
        <v>3</v>
      </c>
      <c r="O591" s="95"/>
      <c r="P591" s="80"/>
      <c r="Q591" s="76" t="s">
        <v>776</v>
      </c>
      <c r="R591" s="100">
        <v>44946</v>
      </c>
    </row>
    <row r="592" spans="1:18" ht="37.15" customHeight="1">
      <c r="A592" s="89" t="s">
        <v>1984</v>
      </c>
      <c r="B592" s="82" t="s">
        <v>53</v>
      </c>
      <c r="C592" s="83"/>
      <c r="D592" s="84" t="s">
        <v>39</v>
      </c>
      <c r="E592" s="85">
        <v>44939</v>
      </c>
      <c r="F592" s="85">
        <v>44970</v>
      </c>
      <c r="G592" s="82" t="s">
        <v>71</v>
      </c>
      <c r="H592" s="82" t="s">
        <v>1985</v>
      </c>
      <c r="I592" s="82"/>
      <c r="J592" s="82" t="s">
        <v>56</v>
      </c>
      <c r="K592" s="82" t="s">
        <v>42</v>
      </c>
      <c r="L592" s="86" t="s">
        <v>1986</v>
      </c>
      <c r="M592" s="79"/>
      <c r="N592" s="84">
        <v>2</v>
      </c>
      <c r="O592" s="95"/>
      <c r="P592" s="80"/>
      <c r="Q592" s="84"/>
      <c r="R592" s="101"/>
    </row>
    <row r="593" spans="1:19" ht="37.15" customHeight="1">
      <c r="A593" s="90" t="s">
        <v>1987</v>
      </c>
      <c r="B593" s="74" t="s">
        <v>53</v>
      </c>
      <c r="C593" s="75"/>
      <c r="D593" s="76" t="s">
        <v>39</v>
      </c>
      <c r="E593" s="77">
        <v>44944</v>
      </c>
      <c r="F593" s="77">
        <v>44975</v>
      </c>
      <c r="G593" s="74" t="s">
        <v>71</v>
      </c>
      <c r="H593" s="74" t="s">
        <v>1988</v>
      </c>
      <c r="I593" s="74"/>
      <c r="J593" s="74" t="s">
        <v>98</v>
      </c>
      <c r="K593" s="74">
        <v>953248</v>
      </c>
      <c r="L593" s="78" t="s">
        <v>1989</v>
      </c>
      <c r="M593" s="79"/>
      <c r="N593" s="76">
        <v>2</v>
      </c>
      <c r="O593" s="95"/>
      <c r="P593" s="80"/>
      <c r="Q593" s="76"/>
      <c r="R593" s="100"/>
    </row>
    <row r="594" spans="1:19" ht="37.15" customHeight="1">
      <c r="A594" s="89" t="s">
        <v>1990</v>
      </c>
      <c r="B594" s="82" t="s">
        <v>53</v>
      </c>
      <c r="C594" s="83"/>
      <c r="D594" s="84" t="s">
        <v>39</v>
      </c>
      <c r="E594" s="85">
        <v>44945</v>
      </c>
      <c r="F594" s="85">
        <v>44976</v>
      </c>
      <c r="G594" s="82" t="s">
        <v>71</v>
      </c>
      <c r="H594" s="82" t="s">
        <v>1222</v>
      </c>
      <c r="I594" s="82"/>
      <c r="J594" s="82" t="s">
        <v>56</v>
      </c>
      <c r="K594" s="82">
        <v>512512</v>
      </c>
      <c r="L594" s="86" t="s">
        <v>1991</v>
      </c>
      <c r="M594" s="79"/>
      <c r="N594" s="84">
        <v>2</v>
      </c>
      <c r="O594" s="95"/>
      <c r="P594" s="80"/>
      <c r="Q594" s="84"/>
      <c r="R594" s="101"/>
    </row>
    <row r="595" spans="1:19" ht="55.35" hidden="1" customHeight="1">
      <c r="A595" s="90" t="s">
        <v>1992</v>
      </c>
      <c r="B595" s="74" t="s">
        <v>38</v>
      </c>
      <c r="C595" s="75"/>
      <c r="D595" s="76" t="s">
        <v>39</v>
      </c>
      <c r="E595" s="77">
        <v>44946</v>
      </c>
      <c r="F595" s="77">
        <v>44977</v>
      </c>
      <c r="G595" s="74" t="s">
        <v>71</v>
      </c>
      <c r="H595" s="74" t="s">
        <v>1993</v>
      </c>
      <c r="I595" s="74"/>
      <c r="J595" s="74" t="s">
        <v>493</v>
      </c>
      <c r="K595" s="74" t="s">
        <v>386</v>
      </c>
      <c r="L595" s="78" t="s">
        <v>1994</v>
      </c>
      <c r="M595" s="79"/>
      <c r="N595" s="76" t="s">
        <v>1995</v>
      </c>
      <c r="O595" s="95"/>
      <c r="P595" s="80"/>
      <c r="Q595" s="76" t="s">
        <v>776</v>
      </c>
      <c r="R595" s="100">
        <v>44958</v>
      </c>
      <c r="S595" s="7"/>
    </row>
    <row r="596" spans="1:19" ht="37.15" customHeight="1">
      <c r="A596" s="89" t="s">
        <v>1996</v>
      </c>
      <c r="B596" s="82" t="s">
        <v>53</v>
      </c>
      <c r="C596" s="83"/>
      <c r="D596" s="84" t="s">
        <v>39</v>
      </c>
      <c r="E596" s="85">
        <v>44951</v>
      </c>
      <c r="F596" s="85">
        <v>44982</v>
      </c>
      <c r="G596" s="82" t="s">
        <v>71</v>
      </c>
      <c r="H596" s="82" t="s">
        <v>1988</v>
      </c>
      <c r="I596" s="82"/>
      <c r="J596" s="82" t="s">
        <v>56</v>
      </c>
      <c r="K596" s="82" t="s">
        <v>42</v>
      </c>
      <c r="L596" s="86" t="s">
        <v>1997</v>
      </c>
      <c r="M596" s="79"/>
      <c r="N596" s="84">
        <v>2</v>
      </c>
      <c r="O596" s="95"/>
      <c r="P596" s="80"/>
      <c r="Q596" s="84"/>
      <c r="R596" s="101"/>
    </row>
    <row r="597" spans="1:19" ht="37.15" customHeight="1">
      <c r="A597" s="90" t="s">
        <v>1998</v>
      </c>
      <c r="B597" s="74" t="s">
        <v>53</v>
      </c>
      <c r="C597" s="75"/>
      <c r="D597" s="76" t="s">
        <v>39</v>
      </c>
      <c r="E597" s="77">
        <v>44952</v>
      </c>
      <c r="F597" s="77">
        <v>44983</v>
      </c>
      <c r="G597" s="74" t="s">
        <v>71</v>
      </c>
      <c r="H597" s="74" t="s">
        <v>1999</v>
      </c>
      <c r="I597" s="74"/>
      <c r="J597" s="74" t="s">
        <v>56</v>
      </c>
      <c r="K597" s="74">
        <v>512556</v>
      </c>
      <c r="L597" s="122" t="s">
        <v>2000</v>
      </c>
      <c r="M597" s="79"/>
      <c r="N597" s="76">
        <v>2</v>
      </c>
      <c r="O597" s="95"/>
      <c r="P597" s="80"/>
      <c r="Q597" s="76"/>
      <c r="R597" s="100"/>
    </row>
    <row r="598" spans="1:19" ht="37.15" customHeight="1">
      <c r="A598" s="89" t="s">
        <v>2001</v>
      </c>
      <c r="B598" s="82" t="s">
        <v>53</v>
      </c>
      <c r="C598" s="83"/>
      <c r="D598" s="84" t="s">
        <v>39</v>
      </c>
      <c r="E598" s="85">
        <v>44959</v>
      </c>
      <c r="F598" s="85">
        <v>44988</v>
      </c>
      <c r="G598" s="82" t="s">
        <v>71</v>
      </c>
      <c r="H598" s="82" t="s">
        <v>2002</v>
      </c>
      <c r="I598" s="82"/>
      <c r="J598" s="82" t="s">
        <v>56</v>
      </c>
      <c r="K598" s="82">
        <v>512592</v>
      </c>
      <c r="L598" s="132" t="s">
        <v>2003</v>
      </c>
      <c r="M598" s="133"/>
      <c r="N598" s="84">
        <v>2</v>
      </c>
      <c r="O598" s="95"/>
      <c r="P598" s="80"/>
      <c r="Q598" s="84"/>
      <c r="R598" s="101"/>
    </row>
    <row r="599" spans="1:19" ht="37.15" customHeight="1">
      <c r="A599" s="90" t="s">
        <v>2004</v>
      </c>
      <c r="B599" s="74" t="s">
        <v>53</v>
      </c>
      <c r="C599" s="75"/>
      <c r="D599" s="76" t="s">
        <v>39</v>
      </c>
      <c r="E599" s="77">
        <v>44963</v>
      </c>
      <c r="F599" s="77">
        <v>44991</v>
      </c>
      <c r="G599" s="74" t="s">
        <v>71</v>
      </c>
      <c r="H599" s="74" t="s">
        <v>2005</v>
      </c>
      <c r="I599" s="74"/>
      <c r="J599" s="74" t="s">
        <v>56</v>
      </c>
      <c r="K599" s="74" t="s">
        <v>42</v>
      </c>
      <c r="L599" s="78" t="s">
        <v>2006</v>
      </c>
      <c r="M599" s="79"/>
      <c r="N599" s="76">
        <v>2</v>
      </c>
      <c r="O599" s="95"/>
      <c r="P599" s="80"/>
      <c r="Q599" s="76"/>
      <c r="R599" s="100"/>
    </row>
    <row r="600" spans="1:19" ht="37.15" customHeight="1">
      <c r="A600" s="89" t="s">
        <v>2007</v>
      </c>
      <c r="B600" s="82" t="s">
        <v>53</v>
      </c>
      <c r="C600" s="83"/>
      <c r="D600" s="84" t="s">
        <v>39</v>
      </c>
      <c r="E600" s="85">
        <v>44964</v>
      </c>
      <c r="F600" s="85">
        <v>44992</v>
      </c>
      <c r="G600" s="82" t="s">
        <v>71</v>
      </c>
      <c r="H600" s="82" t="s">
        <v>2008</v>
      </c>
      <c r="I600" s="82"/>
      <c r="J600" s="82" t="s">
        <v>56</v>
      </c>
      <c r="K600" s="82">
        <v>512605</v>
      </c>
      <c r="L600" s="86" t="s">
        <v>2009</v>
      </c>
      <c r="M600" s="79"/>
      <c r="N600" s="84">
        <v>2</v>
      </c>
      <c r="O600" s="95"/>
      <c r="P600" s="80"/>
      <c r="Q600" s="84"/>
      <c r="R600" s="101"/>
    </row>
    <row r="601" spans="1:19" ht="37.15" hidden="1" customHeight="1">
      <c r="A601" s="90" t="s">
        <v>2010</v>
      </c>
      <c r="B601" s="74" t="s">
        <v>38</v>
      </c>
      <c r="C601" s="75"/>
      <c r="D601" s="76" t="s">
        <v>39</v>
      </c>
      <c r="E601" s="77">
        <v>44965</v>
      </c>
      <c r="F601" s="77">
        <v>44993</v>
      </c>
      <c r="G601" s="74" t="s">
        <v>1554</v>
      </c>
      <c r="H601" s="74" t="s">
        <v>2011</v>
      </c>
      <c r="I601" s="74"/>
      <c r="J601" s="74" t="s">
        <v>56</v>
      </c>
      <c r="K601" s="74" t="s">
        <v>2012</v>
      </c>
      <c r="L601" s="78" t="s">
        <v>2013</v>
      </c>
      <c r="M601" s="79"/>
      <c r="N601" s="76">
        <v>4</v>
      </c>
      <c r="O601" s="95"/>
      <c r="P601" s="80"/>
      <c r="Q601" s="76" t="s">
        <v>776</v>
      </c>
      <c r="R601" s="100">
        <v>44979</v>
      </c>
      <c r="S601" s="123"/>
    </row>
    <row r="602" spans="1:19" ht="37.15" hidden="1" customHeight="1">
      <c r="A602" s="89" t="s">
        <v>2014</v>
      </c>
      <c r="B602" s="82" t="s">
        <v>47</v>
      </c>
      <c r="C602" s="83"/>
      <c r="D602" s="84" t="s">
        <v>39</v>
      </c>
      <c r="E602" s="85">
        <v>44965</v>
      </c>
      <c r="F602" s="85">
        <v>44993</v>
      </c>
      <c r="G602" s="82" t="s">
        <v>71</v>
      </c>
      <c r="H602" s="91" t="s">
        <v>1098</v>
      </c>
      <c r="I602" s="91" t="s">
        <v>2015</v>
      </c>
      <c r="J602" s="82" t="s">
        <v>316</v>
      </c>
      <c r="K602" s="82" t="s">
        <v>2016</v>
      </c>
      <c r="L602" s="86" t="s">
        <v>2017</v>
      </c>
      <c r="M602" s="79"/>
      <c r="N602" s="84">
        <v>3</v>
      </c>
      <c r="O602" s="95"/>
      <c r="P602" s="80"/>
      <c r="Q602" s="84" t="s">
        <v>776</v>
      </c>
      <c r="R602" s="101">
        <v>44967</v>
      </c>
    </row>
    <row r="603" spans="1:19" ht="37.15" hidden="1" customHeight="1">
      <c r="A603" s="90" t="s">
        <v>2018</v>
      </c>
      <c r="B603" s="74" t="s">
        <v>38</v>
      </c>
      <c r="C603" s="75"/>
      <c r="D603" s="76" t="s">
        <v>39</v>
      </c>
      <c r="E603" s="77">
        <v>44966</v>
      </c>
      <c r="F603" s="77">
        <v>44994</v>
      </c>
      <c r="G603" s="74" t="s">
        <v>108</v>
      </c>
      <c r="H603" s="74" t="s">
        <v>2019</v>
      </c>
      <c r="I603" s="74"/>
      <c r="J603" s="74" t="s">
        <v>493</v>
      </c>
      <c r="K603" s="74" t="s">
        <v>2020</v>
      </c>
      <c r="L603" s="78" t="s">
        <v>2021</v>
      </c>
      <c r="M603" s="79"/>
      <c r="N603" s="76" t="s">
        <v>1995</v>
      </c>
      <c r="O603" s="95"/>
      <c r="P603" s="80"/>
      <c r="Q603" s="76" t="s">
        <v>776</v>
      </c>
      <c r="R603" s="100">
        <v>44994</v>
      </c>
    </row>
    <row r="604" spans="1:19" ht="37.15" hidden="1" customHeight="1">
      <c r="A604" s="89" t="s">
        <v>2022</v>
      </c>
      <c r="B604" s="82" t="s">
        <v>47</v>
      </c>
      <c r="C604" s="83"/>
      <c r="D604" s="84" t="s">
        <v>39</v>
      </c>
      <c r="E604" s="134" t="s">
        <v>1767</v>
      </c>
      <c r="F604" s="85"/>
      <c r="G604" s="82" t="s">
        <v>71</v>
      </c>
      <c r="H604" s="84" t="s">
        <v>2023</v>
      </c>
      <c r="I604" s="84"/>
      <c r="J604" s="82" t="s">
        <v>56</v>
      </c>
      <c r="K604" s="82" t="s">
        <v>2016</v>
      </c>
      <c r="L604" s="86" t="s">
        <v>2024</v>
      </c>
      <c r="M604" s="79"/>
      <c r="N604" s="84" t="s">
        <v>42</v>
      </c>
      <c r="O604" s="95"/>
      <c r="P604" s="80"/>
      <c r="Q604" s="84" t="s">
        <v>42</v>
      </c>
      <c r="R604" s="101" t="s">
        <v>42</v>
      </c>
    </row>
    <row r="605" spans="1:19" ht="37.15" hidden="1" customHeight="1">
      <c r="A605" s="90" t="s">
        <v>2025</v>
      </c>
      <c r="B605" s="74" t="s">
        <v>38</v>
      </c>
      <c r="C605" s="75"/>
      <c r="D605" s="76" t="s">
        <v>39</v>
      </c>
      <c r="E605" s="77">
        <v>44967</v>
      </c>
      <c r="F605" s="77">
        <v>44995</v>
      </c>
      <c r="G605" s="74" t="s">
        <v>252</v>
      </c>
      <c r="H605" s="74" t="s">
        <v>2026</v>
      </c>
      <c r="I605" s="74"/>
      <c r="J605" s="74" t="s">
        <v>1773</v>
      </c>
      <c r="K605" s="74" t="s">
        <v>2027</v>
      </c>
      <c r="L605" s="78" t="s">
        <v>2028</v>
      </c>
      <c r="M605" s="79"/>
      <c r="N605" s="76">
        <v>3</v>
      </c>
      <c r="O605" s="95"/>
      <c r="P605" s="80"/>
      <c r="Q605" s="76" t="s">
        <v>776</v>
      </c>
      <c r="R605" s="100">
        <v>44979</v>
      </c>
    </row>
    <row r="606" spans="1:19" ht="37.15" hidden="1" customHeight="1">
      <c r="A606" s="89" t="s">
        <v>2029</v>
      </c>
      <c r="B606" s="82" t="s">
        <v>47</v>
      </c>
      <c r="C606" s="83"/>
      <c r="D606" s="84" t="s">
        <v>117</v>
      </c>
      <c r="E606" s="85">
        <v>44973</v>
      </c>
      <c r="F606" s="85">
        <v>45001</v>
      </c>
      <c r="G606" s="82" t="s">
        <v>71</v>
      </c>
      <c r="H606" s="82" t="s">
        <v>2030</v>
      </c>
      <c r="I606" s="82"/>
      <c r="J606" s="82" t="s">
        <v>2031</v>
      </c>
      <c r="K606" s="82" t="s">
        <v>2016</v>
      </c>
      <c r="L606" s="86" t="s">
        <v>2032</v>
      </c>
      <c r="M606" s="79"/>
      <c r="N606" s="84">
        <v>4</v>
      </c>
      <c r="O606" s="95"/>
      <c r="P606" s="80"/>
      <c r="Q606" s="84" t="s">
        <v>776</v>
      </c>
      <c r="R606" s="101">
        <v>44979</v>
      </c>
    </row>
    <row r="607" spans="1:19" ht="37.15" customHeight="1">
      <c r="A607" s="90" t="s">
        <v>2033</v>
      </c>
      <c r="B607" s="74" t="s">
        <v>53</v>
      </c>
      <c r="C607" s="75"/>
      <c r="D607" s="76" t="s">
        <v>39</v>
      </c>
      <c r="E607" s="77">
        <v>44978</v>
      </c>
      <c r="F607" s="77">
        <v>45006</v>
      </c>
      <c r="G607" s="74" t="s">
        <v>71</v>
      </c>
      <c r="H607" s="74" t="s">
        <v>2034</v>
      </c>
      <c r="I607" s="74"/>
      <c r="J607" s="74" t="s">
        <v>56</v>
      </c>
      <c r="K607" s="74">
        <v>512662</v>
      </c>
      <c r="L607" s="78" t="s">
        <v>2035</v>
      </c>
      <c r="M607" s="79"/>
      <c r="N607" s="76">
        <v>2</v>
      </c>
      <c r="O607" s="95"/>
      <c r="P607" s="80"/>
      <c r="Q607" s="76"/>
      <c r="R607" s="100"/>
    </row>
    <row r="608" spans="1:19" ht="37.15" customHeight="1">
      <c r="A608" s="89" t="s">
        <v>2036</v>
      </c>
      <c r="B608" s="82" t="s">
        <v>53</v>
      </c>
      <c r="C608" s="83"/>
      <c r="D608" s="84" t="s">
        <v>39</v>
      </c>
      <c r="E608" s="85">
        <v>44981</v>
      </c>
      <c r="F608" s="85">
        <v>45009</v>
      </c>
      <c r="G608" s="82" t="s">
        <v>252</v>
      </c>
      <c r="H608" s="82" t="s">
        <v>2037</v>
      </c>
      <c r="I608" s="82"/>
      <c r="J608" s="82" t="s">
        <v>56</v>
      </c>
      <c r="K608" s="82" t="s">
        <v>345</v>
      </c>
      <c r="L608" s="86" t="s">
        <v>2038</v>
      </c>
      <c r="M608" s="79"/>
      <c r="N608" s="84">
        <v>3</v>
      </c>
      <c r="O608" s="95"/>
      <c r="P608" s="80"/>
      <c r="Q608" s="84" t="s">
        <v>776</v>
      </c>
      <c r="R608" s="101"/>
    </row>
    <row r="609" spans="1:19" ht="37.15" hidden="1" customHeight="1">
      <c r="A609" s="90" t="s">
        <v>2039</v>
      </c>
      <c r="B609" s="74" t="s">
        <v>47</v>
      </c>
      <c r="C609" s="75"/>
      <c r="D609" s="76" t="s">
        <v>39</v>
      </c>
      <c r="E609" s="77">
        <v>44986</v>
      </c>
      <c r="F609" s="77">
        <v>45017</v>
      </c>
      <c r="G609" s="74" t="s">
        <v>38</v>
      </c>
      <c r="H609" s="74" t="s">
        <v>2040</v>
      </c>
      <c r="I609" s="74"/>
      <c r="J609" s="74" t="s">
        <v>102</v>
      </c>
      <c r="K609" s="74" t="s">
        <v>2041</v>
      </c>
      <c r="L609" s="78" t="s">
        <v>2042</v>
      </c>
      <c r="M609" s="79"/>
      <c r="N609" s="76">
        <v>3</v>
      </c>
      <c r="O609" s="95"/>
      <c r="P609" s="80"/>
      <c r="Q609" s="76" t="s">
        <v>776</v>
      </c>
      <c r="R609" s="100">
        <v>45002</v>
      </c>
    </row>
    <row r="610" spans="1:19" ht="37.15" hidden="1" customHeight="1">
      <c r="A610" s="21" t="s">
        <v>2043</v>
      </c>
      <c r="B610" s="135" t="s">
        <v>47</v>
      </c>
      <c r="C610" s="136"/>
      <c r="D610" s="137" t="s">
        <v>117</v>
      </c>
      <c r="E610" s="138" t="s">
        <v>43</v>
      </c>
      <c r="F610" s="139"/>
      <c r="G610" s="135" t="s">
        <v>71</v>
      </c>
      <c r="H610" s="135" t="s">
        <v>1504</v>
      </c>
      <c r="I610" s="135"/>
      <c r="J610" s="135" t="s">
        <v>56</v>
      </c>
      <c r="K610" s="135" t="s">
        <v>42</v>
      </c>
      <c r="L610" s="140" t="s">
        <v>2044</v>
      </c>
      <c r="M610" s="141"/>
      <c r="N610" s="137">
        <v>3</v>
      </c>
      <c r="O610" s="95"/>
      <c r="P610" s="142"/>
      <c r="Q610" s="84" t="s">
        <v>42</v>
      </c>
      <c r="R610" s="24" t="s">
        <v>1767</v>
      </c>
      <c r="S610" s="9"/>
    </row>
    <row r="611" spans="1:19" ht="50.25" customHeight="1">
      <c r="A611" s="90" t="s">
        <v>2045</v>
      </c>
      <c r="B611" s="74" t="s">
        <v>53</v>
      </c>
      <c r="C611" s="75"/>
      <c r="D611" s="76" t="s">
        <v>39</v>
      </c>
      <c r="E611" s="77">
        <v>44994</v>
      </c>
      <c r="F611" s="77">
        <v>45025</v>
      </c>
      <c r="G611" s="74" t="s">
        <v>71</v>
      </c>
      <c r="H611" s="74" t="s">
        <v>2046</v>
      </c>
      <c r="I611" s="74"/>
      <c r="J611" s="74" t="s">
        <v>56</v>
      </c>
      <c r="K611" s="74">
        <v>512774</v>
      </c>
      <c r="L611" s="78" t="s">
        <v>2047</v>
      </c>
      <c r="M611" s="79"/>
      <c r="N611" s="76">
        <v>3</v>
      </c>
      <c r="O611" s="95"/>
      <c r="P611" s="80"/>
      <c r="Q611" s="76" t="s">
        <v>776</v>
      </c>
      <c r="R611" s="100"/>
    </row>
    <row r="612" spans="1:19" ht="37.15" hidden="1" customHeight="1">
      <c r="A612" s="89" t="s">
        <v>2048</v>
      </c>
      <c r="B612" s="82" t="s">
        <v>47</v>
      </c>
      <c r="C612" s="83"/>
      <c r="D612" s="84" t="s">
        <v>117</v>
      </c>
      <c r="E612" s="85">
        <v>45002</v>
      </c>
      <c r="F612" s="85">
        <v>45033</v>
      </c>
      <c r="G612" s="82" t="s">
        <v>71</v>
      </c>
      <c r="H612" s="82" t="s">
        <v>2049</v>
      </c>
      <c r="I612" s="82"/>
      <c r="J612" s="82" t="s">
        <v>2050</v>
      </c>
      <c r="K612" s="82" t="s">
        <v>2051</v>
      </c>
      <c r="L612" s="86" t="s">
        <v>2052</v>
      </c>
      <c r="M612" s="79"/>
      <c r="N612" s="84">
        <v>3</v>
      </c>
      <c r="O612" s="95"/>
      <c r="P612" s="80"/>
      <c r="Q612" s="84" t="s">
        <v>776</v>
      </c>
      <c r="R612" s="101">
        <v>45015</v>
      </c>
    </row>
    <row r="613" spans="1:19" ht="37.15" hidden="1" customHeight="1">
      <c r="A613" s="90" t="s">
        <v>2053</v>
      </c>
      <c r="B613" s="74" t="s">
        <v>47</v>
      </c>
      <c r="C613" s="75"/>
      <c r="D613" s="76" t="s">
        <v>39</v>
      </c>
      <c r="E613" s="77">
        <v>45002</v>
      </c>
      <c r="F613" s="77">
        <v>45033</v>
      </c>
      <c r="G613" s="74" t="s">
        <v>71</v>
      </c>
      <c r="H613" s="74" t="s">
        <v>2054</v>
      </c>
      <c r="I613" s="74" t="s">
        <v>2055</v>
      </c>
      <c r="J613" s="74" t="s">
        <v>56</v>
      </c>
      <c r="K613" s="74" t="s">
        <v>2056</v>
      </c>
      <c r="L613" s="78" t="s">
        <v>2057</v>
      </c>
      <c r="M613" s="79"/>
      <c r="N613" s="76">
        <v>3</v>
      </c>
      <c r="O613" s="95"/>
      <c r="P613" s="80"/>
      <c r="Q613" s="76" t="s">
        <v>776</v>
      </c>
      <c r="R613" s="100">
        <v>45015</v>
      </c>
    </row>
    <row r="614" spans="1:19" ht="37.15" hidden="1" customHeight="1">
      <c r="A614" s="89" t="s">
        <v>2058</v>
      </c>
      <c r="B614" s="82" t="s">
        <v>38</v>
      </c>
      <c r="C614" s="83"/>
      <c r="D614" s="84" t="s">
        <v>39</v>
      </c>
      <c r="E614" s="85">
        <v>44999</v>
      </c>
      <c r="F614" s="85">
        <v>45030</v>
      </c>
      <c r="G614" s="82" t="s">
        <v>1288</v>
      </c>
      <c r="H614" s="82" t="s">
        <v>2059</v>
      </c>
      <c r="I614" s="82"/>
      <c r="J614" s="84" t="s">
        <v>2060</v>
      </c>
      <c r="K614" s="82" t="s">
        <v>2061</v>
      </c>
      <c r="L614" s="86" t="s">
        <v>2062</v>
      </c>
      <c r="M614" s="79"/>
      <c r="N614" s="84">
        <v>3</v>
      </c>
      <c r="O614" s="95"/>
      <c r="P614" s="80"/>
      <c r="Q614" s="84" t="s">
        <v>776</v>
      </c>
      <c r="R614" s="101">
        <v>45015</v>
      </c>
      <c r="S614" s="123"/>
    </row>
    <row r="615" spans="1:19" ht="37.15" hidden="1" customHeight="1">
      <c r="A615" s="22" t="s">
        <v>2063</v>
      </c>
      <c r="B615" s="74" t="s">
        <v>47</v>
      </c>
      <c r="C615" s="75"/>
      <c r="D615" s="143" t="s">
        <v>39</v>
      </c>
      <c r="E615" s="144"/>
      <c r="F615" s="144"/>
      <c r="G615" s="145" t="s">
        <v>493</v>
      </c>
      <c r="H615" s="145" t="s">
        <v>2064</v>
      </c>
      <c r="I615" s="145"/>
      <c r="J615" s="145" t="s">
        <v>493</v>
      </c>
      <c r="K615" s="145" t="s">
        <v>42</v>
      </c>
      <c r="L615" s="146" t="s">
        <v>2065</v>
      </c>
      <c r="M615" s="141"/>
      <c r="N615" s="76"/>
      <c r="O615" s="95"/>
      <c r="P615" s="80"/>
      <c r="Q615" s="76" t="s">
        <v>42</v>
      </c>
      <c r="R615" s="100" t="s">
        <v>2066</v>
      </c>
    </row>
    <row r="616" spans="1:19" ht="37.15" hidden="1" customHeight="1">
      <c r="A616" s="89" t="s">
        <v>2067</v>
      </c>
      <c r="B616" s="82" t="s">
        <v>38</v>
      </c>
      <c r="C616" s="83"/>
      <c r="D616" s="84" t="s">
        <v>39</v>
      </c>
      <c r="E616" s="85">
        <v>44999</v>
      </c>
      <c r="F616" s="85">
        <v>45030</v>
      </c>
      <c r="G616" s="82" t="s">
        <v>108</v>
      </c>
      <c r="H616" s="82" t="s">
        <v>2068</v>
      </c>
      <c r="I616" s="82"/>
      <c r="J616" s="82" t="s">
        <v>56</v>
      </c>
      <c r="K616" s="84" t="s">
        <v>2069</v>
      </c>
      <c r="L616" s="86" t="s">
        <v>2070</v>
      </c>
      <c r="M616" s="79"/>
      <c r="N616" s="84">
        <v>3</v>
      </c>
      <c r="O616" s="95"/>
      <c r="P616" s="80"/>
      <c r="Q616" s="84" t="s">
        <v>776</v>
      </c>
      <c r="R616" s="101">
        <v>45015</v>
      </c>
      <c r="S616" s="123"/>
    </row>
    <row r="617" spans="1:19" ht="37.15" customHeight="1">
      <c r="A617" s="25" t="s">
        <v>2071</v>
      </c>
      <c r="B617" s="74" t="s">
        <v>53</v>
      </c>
      <c r="C617" s="75"/>
      <c r="D617" s="76" t="s">
        <v>39</v>
      </c>
      <c r="E617" s="77">
        <v>45000</v>
      </c>
      <c r="F617" s="77">
        <v>45031</v>
      </c>
      <c r="G617" s="74" t="s">
        <v>71</v>
      </c>
      <c r="H617" s="74" t="s">
        <v>2072</v>
      </c>
      <c r="I617" s="74"/>
      <c r="J617" s="74" t="s">
        <v>56</v>
      </c>
      <c r="K617" s="74"/>
      <c r="L617" s="78" t="s">
        <v>2073</v>
      </c>
      <c r="M617" s="79"/>
      <c r="N617" s="76"/>
      <c r="O617" s="95"/>
      <c r="P617" s="80"/>
      <c r="Q617" s="76"/>
      <c r="R617" s="100"/>
    </row>
    <row r="618" spans="1:19" ht="37.15" customHeight="1">
      <c r="A618" s="89" t="s">
        <v>2074</v>
      </c>
      <c r="B618" s="82" t="s">
        <v>53</v>
      </c>
      <c r="C618" s="83"/>
      <c r="D618" s="84" t="s">
        <v>39</v>
      </c>
      <c r="E618" s="85">
        <v>45000</v>
      </c>
      <c r="F618" s="85">
        <v>45031</v>
      </c>
      <c r="G618" s="82" t="s">
        <v>71</v>
      </c>
      <c r="H618" s="82" t="s">
        <v>2075</v>
      </c>
      <c r="I618" s="82"/>
      <c r="J618" s="82" t="s">
        <v>385</v>
      </c>
      <c r="K618" s="82">
        <v>935328</v>
      </c>
      <c r="L618" s="86" t="s">
        <v>2076</v>
      </c>
      <c r="M618" s="79"/>
      <c r="N618" s="84">
        <v>2</v>
      </c>
      <c r="O618" s="95"/>
      <c r="P618" s="80"/>
      <c r="Q618" s="84"/>
      <c r="R618" s="101"/>
    </row>
    <row r="619" spans="1:19" ht="37.15" customHeight="1">
      <c r="A619" s="19" t="s">
        <v>2077</v>
      </c>
      <c r="B619" s="74" t="s">
        <v>53</v>
      </c>
      <c r="C619" s="75"/>
      <c r="D619" s="76" t="s">
        <v>39</v>
      </c>
      <c r="E619" s="77">
        <v>44988</v>
      </c>
      <c r="F619" s="77">
        <v>45032</v>
      </c>
      <c r="G619" s="74" t="s">
        <v>71</v>
      </c>
      <c r="H619" s="74" t="s">
        <v>2078</v>
      </c>
      <c r="I619" s="74"/>
      <c r="J619" s="74" t="s">
        <v>385</v>
      </c>
      <c r="K619" s="74">
        <v>512740</v>
      </c>
      <c r="L619" s="78" t="s">
        <v>2079</v>
      </c>
      <c r="M619" s="79"/>
      <c r="N619" s="76">
        <v>2</v>
      </c>
      <c r="O619" s="95"/>
      <c r="P619" s="80"/>
      <c r="Q619" s="76"/>
      <c r="R619" s="100"/>
    </row>
    <row r="620" spans="1:19" ht="37.15" hidden="1" customHeight="1">
      <c r="A620" s="89" t="s">
        <v>2080</v>
      </c>
      <c r="B620" s="82" t="s">
        <v>47</v>
      </c>
      <c r="C620" s="83"/>
      <c r="D620" s="84" t="s">
        <v>39</v>
      </c>
      <c r="E620" s="85">
        <v>45019</v>
      </c>
      <c r="F620" s="85">
        <v>45049</v>
      </c>
      <c r="G620" s="82" t="s">
        <v>71</v>
      </c>
      <c r="H620" s="82" t="s">
        <v>1504</v>
      </c>
      <c r="I620" s="82" t="s">
        <v>2081</v>
      </c>
      <c r="J620" s="82" t="s">
        <v>385</v>
      </c>
      <c r="K620" s="82" t="s">
        <v>42</v>
      </c>
      <c r="L620" s="86" t="s">
        <v>2082</v>
      </c>
      <c r="M620" s="79"/>
      <c r="N620" s="84">
        <v>3</v>
      </c>
      <c r="O620" s="95"/>
      <c r="P620" s="80"/>
      <c r="Q620" s="84" t="s">
        <v>776</v>
      </c>
      <c r="R620" s="101">
        <v>45021</v>
      </c>
    </row>
    <row r="621" spans="1:19" ht="37.15" hidden="1" customHeight="1">
      <c r="A621" s="90" t="s">
        <v>2083</v>
      </c>
      <c r="B621" s="74" t="s">
        <v>38</v>
      </c>
      <c r="C621" s="75"/>
      <c r="D621" s="76" t="s">
        <v>39</v>
      </c>
      <c r="E621" s="77">
        <v>45020</v>
      </c>
      <c r="F621" s="77">
        <v>45050</v>
      </c>
      <c r="G621" s="74" t="s">
        <v>1554</v>
      </c>
      <c r="H621" s="74" t="s">
        <v>2084</v>
      </c>
      <c r="I621" s="74"/>
      <c r="J621" s="76" t="s">
        <v>2085</v>
      </c>
      <c r="K621" s="74" t="s">
        <v>386</v>
      </c>
      <c r="L621" s="78" t="s">
        <v>2086</v>
      </c>
      <c r="M621" s="79"/>
      <c r="N621" s="76">
        <v>6</v>
      </c>
      <c r="O621" s="95"/>
      <c r="P621" s="80"/>
      <c r="Q621" s="76" t="s">
        <v>776</v>
      </c>
      <c r="R621" s="100">
        <v>45033</v>
      </c>
      <c r="S621" s="123"/>
    </row>
    <row r="622" spans="1:19" ht="37.15" customHeight="1">
      <c r="A622" s="89" t="s">
        <v>2087</v>
      </c>
      <c r="B622" s="82" t="s">
        <v>53</v>
      </c>
      <c r="C622" s="83"/>
      <c r="D622" s="84" t="s">
        <v>39</v>
      </c>
      <c r="E622" s="85">
        <v>45020</v>
      </c>
      <c r="F622" s="85">
        <v>45081</v>
      </c>
      <c r="G622" s="82" t="s">
        <v>71</v>
      </c>
      <c r="H622" s="82" t="s">
        <v>2088</v>
      </c>
      <c r="I622" s="82"/>
      <c r="J622" s="82" t="s">
        <v>56</v>
      </c>
      <c r="K622" s="82">
        <v>455670</v>
      </c>
      <c r="L622" s="86" t="s">
        <v>2089</v>
      </c>
      <c r="M622" s="79"/>
      <c r="N622" s="84">
        <v>4</v>
      </c>
      <c r="O622" s="95"/>
      <c r="P622" s="80"/>
      <c r="Q622" s="84" t="s">
        <v>776</v>
      </c>
      <c r="R622" s="101"/>
    </row>
    <row r="623" spans="1:19" ht="37.15" hidden="1" customHeight="1">
      <c r="A623" s="90" t="s">
        <v>2090</v>
      </c>
      <c r="B623" s="74" t="s">
        <v>47</v>
      </c>
      <c r="C623" s="75"/>
      <c r="D623" s="76" t="s">
        <v>117</v>
      </c>
      <c r="E623" s="77">
        <v>45027</v>
      </c>
      <c r="F623" s="77">
        <v>45057</v>
      </c>
      <c r="G623" s="74" t="s">
        <v>71</v>
      </c>
      <c r="H623" s="74" t="s">
        <v>2091</v>
      </c>
      <c r="I623" s="74"/>
      <c r="J623" s="74" t="s">
        <v>56</v>
      </c>
      <c r="K623" s="74" t="s">
        <v>42</v>
      </c>
      <c r="L623" s="78" t="s">
        <v>2092</v>
      </c>
      <c r="M623" s="79"/>
      <c r="N623" s="76">
        <v>3</v>
      </c>
      <c r="O623" s="95"/>
      <c r="P623" s="80"/>
      <c r="Q623" s="76" t="s">
        <v>776</v>
      </c>
      <c r="R623" s="100">
        <v>45049</v>
      </c>
    </row>
    <row r="624" spans="1:19" ht="37.15" hidden="1" customHeight="1">
      <c r="A624" s="89" t="s">
        <v>2093</v>
      </c>
      <c r="B624" s="82" t="s">
        <v>47</v>
      </c>
      <c r="C624" s="83"/>
      <c r="D624" s="84" t="s">
        <v>39</v>
      </c>
      <c r="E624" s="85">
        <v>45028</v>
      </c>
      <c r="F624" s="85">
        <v>45058</v>
      </c>
      <c r="G624" s="82" t="s">
        <v>71</v>
      </c>
      <c r="H624" s="82" t="s">
        <v>1504</v>
      </c>
      <c r="I624" s="82" t="s">
        <v>2094</v>
      </c>
      <c r="J624" s="82" t="s">
        <v>56</v>
      </c>
      <c r="K624" s="82" t="s">
        <v>42</v>
      </c>
      <c r="L624" s="86" t="s">
        <v>2095</v>
      </c>
      <c r="M624" s="79"/>
      <c r="N624" s="84">
        <v>3</v>
      </c>
      <c r="O624" s="95"/>
      <c r="P624" s="80"/>
      <c r="Q624" s="84" t="s">
        <v>776</v>
      </c>
      <c r="R624" s="101">
        <v>45049</v>
      </c>
    </row>
    <row r="625" spans="1:18" ht="37.15" customHeight="1">
      <c r="A625" s="90" t="s">
        <v>2096</v>
      </c>
      <c r="B625" s="74" t="s">
        <v>53</v>
      </c>
      <c r="C625" s="75"/>
      <c r="D625" s="76" t="s">
        <v>39</v>
      </c>
      <c r="E625" s="77">
        <v>45029</v>
      </c>
      <c r="F625" s="77">
        <v>45059</v>
      </c>
      <c r="G625" s="74" t="s">
        <v>71</v>
      </c>
      <c r="H625" s="74" t="s">
        <v>2097</v>
      </c>
      <c r="I625" s="74"/>
      <c r="J625" s="74" t="s">
        <v>56</v>
      </c>
      <c r="K625" s="74">
        <v>465966</v>
      </c>
      <c r="L625" s="78" t="s">
        <v>2098</v>
      </c>
      <c r="M625" s="79"/>
      <c r="N625" s="76">
        <v>2</v>
      </c>
      <c r="O625" s="95"/>
      <c r="P625" s="80"/>
      <c r="Q625" s="76"/>
      <c r="R625" s="100"/>
    </row>
    <row r="626" spans="1:18" ht="46.15" customHeight="1">
      <c r="A626" s="89" t="s">
        <v>2099</v>
      </c>
      <c r="B626" s="82" t="s">
        <v>53</v>
      </c>
      <c r="C626" s="83"/>
      <c r="D626" s="84" t="s">
        <v>39</v>
      </c>
      <c r="E626" s="85">
        <v>45030</v>
      </c>
      <c r="F626" s="85">
        <v>45060</v>
      </c>
      <c r="G626" s="82" t="s">
        <v>71</v>
      </c>
      <c r="H626" s="91" t="s">
        <v>2100</v>
      </c>
      <c r="I626" s="91"/>
      <c r="J626" s="82" t="s">
        <v>253</v>
      </c>
      <c r="K626" s="82">
        <v>462505</v>
      </c>
      <c r="L626" s="86" t="s">
        <v>2101</v>
      </c>
      <c r="M626" s="79"/>
      <c r="N626" s="84">
        <v>2</v>
      </c>
      <c r="O626" s="95"/>
      <c r="P626" s="80"/>
      <c r="Q626" s="84"/>
      <c r="R626" s="101"/>
    </row>
    <row r="627" spans="1:18" ht="37.15" customHeight="1">
      <c r="A627" s="90" t="s">
        <v>2102</v>
      </c>
      <c r="B627" s="74" t="s">
        <v>53</v>
      </c>
      <c r="C627" s="75"/>
      <c r="D627" s="76" t="s">
        <v>39</v>
      </c>
      <c r="E627" s="77">
        <v>45030</v>
      </c>
      <c r="F627" s="77">
        <v>45060</v>
      </c>
      <c r="G627" s="74" t="s">
        <v>71</v>
      </c>
      <c r="H627" s="74" t="s">
        <v>2103</v>
      </c>
      <c r="I627" s="74"/>
      <c r="J627" s="74" t="s">
        <v>253</v>
      </c>
      <c r="K627" s="74">
        <v>462810</v>
      </c>
      <c r="L627" s="78" t="s">
        <v>2104</v>
      </c>
      <c r="M627" s="79"/>
      <c r="N627" s="76">
        <v>2</v>
      </c>
      <c r="O627" s="95"/>
      <c r="P627" s="80"/>
      <c r="Q627" s="76"/>
      <c r="R627" s="100"/>
    </row>
    <row r="628" spans="1:18" ht="37.15" customHeight="1">
      <c r="A628" s="89" t="s">
        <v>2105</v>
      </c>
      <c r="B628" s="82" t="s">
        <v>53</v>
      </c>
      <c r="C628" s="83"/>
      <c r="D628" s="84" t="s">
        <v>39</v>
      </c>
      <c r="E628" s="85">
        <v>45040</v>
      </c>
      <c r="F628" s="85">
        <v>45070</v>
      </c>
      <c r="G628" s="82" t="s">
        <v>71</v>
      </c>
      <c r="H628" s="91" t="s">
        <v>2106</v>
      </c>
      <c r="I628" s="91"/>
      <c r="J628" s="82" t="s">
        <v>56</v>
      </c>
      <c r="K628" s="82" t="s">
        <v>42</v>
      </c>
      <c r="L628" s="147" t="s">
        <v>2107</v>
      </c>
      <c r="M628" s="94"/>
      <c r="N628" s="84">
        <v>2</v>
      </c>
      <c r="O628" s="95"/>
      <c r="P628" s="80"/>
      <c r="Q628" s="84"/>
      <c r="R628" s="101"/>
    </row>
    <row r="629" spans="1:18" ht="76.7" customHeight="1">
      <c r="A629" s="90" t="s">
        <v>2108</v>
      </c>
      <c r="B629" s="74" t="s">
        <v>53</v>
      </c>
      <c r="C629" s="75"/>
      <c r="D629" s="76" t="s">
        <v>39</v>
      </c>
      <c r="E629" s="77">
        <v>45047</v>
      </c>
      <c r="F629" s="77">
        <v>45078</v>
      </c>
      <c r="G629" s="74" t="s">
        <v>71</v>
      </c>
      <c r="H629" s="92" t="s">
        <v>2109</v>
      </c>
      <c r="I629" s="92"/>
      <c r="J629" s="74" t="s">
        <v>56</v>
      </c>
      <c r="K629" s="74" t="s">
        <v>42</v>
      </c>
      <c r="L629" s="148" t="s">
        <v>2110</v>
      </c>
      <c r="M629" s="94"/>
      <c r="N629" s="76">
        <v>2</v>
      </c>
      <c r="O629" s="95"/>
      <c r="P629" s="80"/>
      <c r="Q629" s="76" t="s">
        <v>776</v>
      </c>
      <c r="R629" s="100"/>
    </row>
    <row r="630" spans="1:18" ht="37.15" hidden="1" customHeight="1">
      <c r="A630" s="89" t="s">
        <v>2111</v>
      </c>
      <c r="B630" s="82" t="s">
        <v>38</v>
      </c>
      <c r="C630" s="83"/>
      <c r="D630" s="84" t="s">
        <v>39</v>
      </c>
      <c r="E630" s="85">
        <v>45055</v>
      </c>
      <c r="F630" s="85">
        <v>45086</v>
      </c>
      <c r="G630" s="82" t="s">
        <v>108</v>
      </c>
      <c r="H630" s="82" t="s">
        <v>2112</v>
      </c>
      <c r="I630" s="82"/>
      <c r="J630" s="82" t="s">
        <v>56</v>
      </c>
      <c r="K630" s="82" t="s">
        <v>2113</v>
      </c>
      <c r="L630" s="121" t="s">
        <v>2114</v>
      </c>
      <c r="M630" s="79"/>
      <c r="N630" s="84">
        <v>3</v>
      </c>
      <c r="O630" s="95"/>
      <c r="P630" s="80"/>
      <c r="Q630" s="84" t="s">
        <v>776</v>
      </c>
      <c r="R630" s="129" t="s">
        <v>2115</v>
      </c>
    </row>
    <row r="631" spans="1:18" ht="37.15" customHeight="1">
      <c r="A631" s="90" t="s">
        <v>2116</v>
      </c>
      <c r="B631" s="74" t="s">
        <v>53</v>
      </c>
      <c r="C631" s="75"/>
      <c r="D631" s="76" t="s">
        <v>39</v>
      </c>
      <c r="E631" s="77">
        <v>45064</v>
      </c>
      <c r="F631" s="77">
        <v>45095</v>
      </c>
      <c r="G631" s="74" t="s">
        <v>71</v>
      </c>
      <c r="H631" s="74" t="s">
        <v>2117</v>
      </c>
      <c r="I631" s="74"/>
      <c r="J631" s="74" t="s">
        <v>56</v>
      </c>
      <c r="K631" s="74" t="s">
        <v>42</v>
      </c>
      <c r="L631" s="78" t="s">
        <v>2118</v>
      </c>
      <c r="M631" s="79"/>
      <c r="N631" s="76">
        <v>3</v>
      </c>
      <c r="O631" s="95"/>
      <c r="P631" s="80"/>
      <c r="Q631" s="76" t="s">
        <v>776</v>
      </c>
      <c r="R631" s="100"/>
    </row>
    <row r="632" spans="1:18" ht="37.15" customHeight="1">
      <c r="A632" s="89" t="s">
        <v>2119</v>
      </c>
      <c r="B632" s="82" t="s">
        <v>53</v>
      </c>
      <c r="C632" s="83"/>
      <c r="D632" s="84" t="s">
        <v>39</v>
      </c>
      <c r="E632" s="85">
        <v>45065</v>
      </c>
      <c r="F632" s="85">
        <v>45096</v>
      </c>
      <c r="G632" s="82" t="s">
        <v>71</v>
      </c>
      <c r="H632" s="82" t="s">
        <v>2120</v>
      </c>
      <c r="I632" s="82"/>
      <c r="J632" s="82" t="s">
        <v>56</v>
      </c>
      <c r="K632" s="82">
        <v>447725</v>
      </c>
      <c r="L632" s="121" t="s">
        <v>2121</v>
      </c>
      <c r="M632" s="79"/>
      <c r="N632" s="84">
        <v>3</v>
      </c>
      <c r="O632" s="95"/>
      <c r="P632" s="80"/>
      <c r="Q632" s="84" t="s">
        <v>776</v>
      </c>
      <c r="R632" s="101"/>
    </row>
    <row r="633" spans="1:18" ht="37.15" customHeight="1">
      <c r="A633" s="90" t="s">
        <v>2122</v>
      </c>
      <c r="B633" s="74" t="s">
        <v>53</v>
      </c>
      <c r="C633" s="75"/>
      <c r="D633" s="76" t="s">
        <v>39</v>
      </c>
      <c r="E633" s="77">
        <v>45070</v>
      </c>
      <c r="F633" s="77">
        <v>45101</v>
      </c>
      <c r="G633" s="74" t="s">
        <v>71</v>
      </c>
      <c r="H633" s="74" t="s">
        <v>2123</v>
      </c>
      <c r="I633" s="74"/>
      <c r="J633" s="74" t="s">
        <v>56</v>
      </c>
      <c r="K633" s="74">
        <v>465639</v>
      </c>
      <c r="L633" s="107" t="s">
        <v>2124</v>
      </c>
      <c r="M633" s="108"/>
      <c r="N633" s="76">
        <v>3</v>
      </c>
      <c r="O633" s="95"/>
      <c r="P633" s="80"/>
      <c r="Q633" s="76"/>
      <c r="R633" s="100"/>
    </row>
    <row r="634" spans="1:18" ht="37.15" hidden="1" customHeight="1">
      <c r="A634" s="89" t="s">
        <v>2125</v>
      </c>
      <c r="B634" s="82" t="s">
        <v>47</v>
      </c>
      <c r="C634" s="83"/>
      <c r="D634" s="84" t="s">
        <v>39</v>
      </c>
      <c r="E634" s="85">
        <v>45075</v>
      </c>
      <c r="F634" s="85">
        <v>45106</v>
      </c>
      <c r="G634" s="84" t="s">
        <v>2126</v>
      </c>
      <c r="H634" s="82" t="s">
        <v>2127</v>
      </c>
      <c r="I634" s="82"/>
      <c r="J634" s="82" t="s">
        <v>253</v>
      </c>
      <c r="K634" s="82" t="s">
        <v>2128</v>
      </c>
      <c r="L634" s="86" t="s">
        <v>2129</v>
      </c>
      <c r="M634" s="79"/>
      <c r="N634" s="84">
        <v>3</v>
      </c>
      <c r="O634" s="95"/>
      <c r="P634" s="80"/>
      <c r="Q634" s="84" t="s">
        <v>776</v>
      </c>
      <c r="R634" s="101">
        <v>45098</v>
      </c>
    </row>
    <row r="635" spans="1:18" ht="37.15" hidden="1" customHeight="1">
      <c r="A635" s="90" t="s">
        <v>2130</v>
      </c>
      <c r="B635" s="74" t="s">
        <v>38</v>
      </c>
      <c r="C635" s="75"/>
      <c r="D635" s="76" t="s">
        <v>39</v>
      </c>
      <c r="E635" s="77">
        <v>45076</v>
      </c>
      <c r="F635" s="77">
        <v>45107</v>
      </c>
      <c r="G635" s="74" t="s">
        <v>108</v>
      </c>
      <c r="H635" s="74" t="s">
        <v>2131</v>
      </c>
      <c r="I635" s="74"/>
      <c r="J635" s="74" t="s">
        <v>2132</v>
      </c>
      <c r="K635" s="74" t="s">
        <v>2133</v>
      </c>
      <c r="L635" s="78" t="s">
        <v>2134</v>
      </c>
      <c r="M635" s="79"/>
      <c r="N635" s="76">
        <v>4</v>
      </c>
      <c r="O635" s="95"/>
      <c r="P635" s="80"/>
      <c r="Q635" s="76" t="s">
        <v>776</v>
      </c>
      <c r="R635" s="100">
        <v>45120</v>
      </c>
    </row>
    <row r="636" spans="1:18" ht="37.15" hidden="1" customHeight="1">
      <c r="A636" s="89" t="s">
        <v>2135</v>
      </c>
      <c r="B636" s="82" t="s">
        <v>38</v>
      </c>
      <c r="C636" s="83"/>
      <c r="D636" s="84" t="s">
        <v>39</v>
      </c>
      <c r="E636" s="85">
        <v>45076</v>
      </c>
      <c r="F636" s="85">
        <v>45107</v>
      </c>
      <c r="G636" s="82" t="s">
        <v>2136</v>
      </c>
      <c r="H636" s="82" t="s">
        <v>2137</v>
      </c>
      <c r="I636" s="82"/>
      <c r="J636" s="82" t="s">
        <v>1685</v>
      </c>
      <c r="K636" s="82" t="s">
        <v>2138</v>
      </c>
      <c r="L636" s="86" t="s">
        <v>2139</v>
      </c>
      <c r="M636" s="79"/>
      <c r="N636" s="84">
        <v>2</v>
      </c>
      <c r="O636" s="95"/>
      <c r="P636" s="80"/>
      <c r="Q636" s="84" t="s">
        <v>776</v>
      </c>
      <c r="R636" s="101">
        <v>45118</v>
      </c>
    </row>
    <row r="637" spans="1:18" ht="37.15" hidden="1" customHeight="1">
      <c r="A637" s="90" t="s">
        <v>2140</v>
      </c>
      <c r="B637" s="74" t="s">
        <v>38</v>
      </c>
      <c r="C637" s="75"/>
      <c r="D637" s="76" t="s">
        <v>39</v>
      </c>
      <c r="E637" s="77">
        <v>45077</v>
      </c>
      <c r="F637" s="77">
        <v>45107</v>
      </c>
      <c r="G637" s="74" t="s">
        <v>108</v>
      </c>
      <c r="H637" s="74" t="s">
        <v>1141</v>
      </c>
      <c r="I637" s="74"/>
      <c r="J637" s="74" t="s">
        <v>253</v>
      </c>
      <c r="K637" s="74" t="s">
        <v>2141</v>
      </c>
      <c r="L637" s="78" t="s">
        <v>2142</v>
      </c>
      <c r="M637" s="79"/>
      <c r="N637" s="76">
        <v>3</v>
      </c>
      <c r="O637" s="95"/>
      <c r="P637" s="80"/>
      <c r="Q637" s="76" t="s">
        <v>776</v>
      </c>
      <c r="R637" s="100">
        <v>45134</v>
      </c>
    </row>
    <row r="638" spans="1:18" ht="37.15" hidden="1" customHeight="1">
      <c r="A638" s="89" t="s">
        <v>2143</v>
      </c>
      <c r="B638" s="82" t="s">
        <v>38</v>
      </c>
      <c r="C638" s="83"/>
      <c r="D638" s="84" t="s">
        <v>39</v>
      </c>
      <c r="E638" s="85">
        <v>45077</v>
      </c>
      <c r="F638" s="85">
        <v>45107</v>
      </c>
      <c r="G638" s="82" t="s">
        <v>108</v>
      </c>
      <c r="H638" s="82" t="s">
        <v>2144</v>
      </c>
      <c r="I638" s="82"/>
      <c r="J638" s="82" t="s">
        <v>2145</v>
      </c>
      <c r="K638" s="82" t="s">
        <v>2146</v>
      </c>
      <c r="L638" s="86" t="s">
        <v>2147</v>
      </c>
      <c r="M638" s="79"/>
      <c r="N638" s="84">
        <v>6</v>
      </c>
      <c r="O638" s="95"/>
      <c r="P638" s="80"/>
      <c r="Q638" s="84" t="s">
        <v>776</v>
      </c>
      <c r="R638" s="101">
        <v>45118</v>
      </c>
    </row>
    <row r="639" spans="1:18" ht="37.15" hidden="1" customHeight="1">
      <c r="A639" s="90" t="s">
        <v>2148</v>
      </c>
      <c r="B639" s="74" t="s">
        <v>38</v>
      </c>
      <c r="C639" s="75"/>
      <c r="D639" s="76" t="s">
        <v>39</v>
      </c>
      <c r="E639" s="77">
        <v>45077</v>
      </c>
      <c r="F639" s="77">
        <v>45107</v>
      </c>
      <c r="G639" s="74" t="s">
        <v>108</v>
      </c>
      <c r="H639" s="74" t="s">
        <v>2149</v>
      </c>
      <c r="I639" s="74"/>
      <c r="J639" s="74" t="s">
        <v>56</v>
      </c>
      <c r="K639" s="74" t="s">
        <v>386</v>
      </c>
      <c r="L639" s="78" t="s">
        <v>2150</v>
      </c>
      <c r="M639" s="79"/>
      <c r="N639" s="76">
        <v>3</v>
      </c>
      <c r="O639" s="95"/>
      <c r="P639" s="80"/>
      <c r="Q639" s="76" t="s">
        <v>776</v>
      </c>
      <c r="R639" s="149">
        <v>45118</v>
      </c>
    </row>
    <row r="640" spans="1:18" ht="37.15" hidden="1" customHeight="1">
      <c r="A640" s="89" t="s">
        <v>2151</v>
      </c>
      <c r="B640" s="82" t="s">
        <v>38</v>
      </c>
      <c r="C640" s="83"/>
      <c r="D640" s="84" t="s">
        <v>117</v>
      </c>
      <c r="E640" s="85">
        <v>45078</v>
      </c>
      <c r="F640" s="85">
        <v>45108</v>
      </c>
      <c r="G640" s="82" t="s">
        <v>108</v>
      </c>
      <c r="H640" s="82" t="s">
        <v>2131</v>
      </c>
      <c r="I640" s="82"/>
      <c r="J640" s="82" t="s">
        <v>2132</v>
      </c>
      <c r="K640" s="82" t="s">
        <v>2152</v>
      </c>
      <c r="L640" s="86" t="s">
        <v>2153</v>
      </c>
      <c r="M640" s="79"/>
      <c r="N640" s="84"/>
      <c r="O640" s="95"/>
      <c r="P640" s="80"/>
      <c r="Q640" s="84" t="s">
        <v>776</v>
      </c>
      <c r="R640" s="101" t="s">
        <v>2154</v>
      </c>
    </row>
    <row r="641" spans="1:19" ht="37.15" hidden="1" customHeight="1">
      <c r="A641" s="90" t="s">
        <v>2155</v>
      </c>
      <c r="B641" s="74" t="s">
        <v>38</v>
      </c>
      <c r="C641" s="75"/>
      <c r="D641" s="76" t="s">
        <v>39</v>
      </c>
      <c r="E641" s="77">
        <v>45078</v>
      </c>
      <c r="F641" s="77">
        <v>45108</v>
      </c>
      <c r="G641" s="74" t="s">
        <v>71</v>
      </c>
      <c r="H641" s="74" t="s">
        <v>2156</v>
      </c>
      <c r="I641" s="74"/>
      <c r="J641" s="74" t="s">
        <v>2157</v>
      </c>
      <c r="K641" s="74" t="s">
        <v>2158</v>
      </c>
      <c r="L641" s="78" t="s">
        <v>2159</v>
      </c>
      <c r="M641" s="79"/>
      <c r="N641" s="76">
        <v>3</v>
      </c>
      <c r="O641" s="95"/>
      <c r="P641" s="80"/>
      <c r="Q641" s="76" t="s">
        <v>776</v>
      </c>
      <c r="R641" s="149">
        <v>45118</v>
      </c>
    </row>
    <row r="642" spans="1:19" ht="37.15" customHeight="1">
      <c r="A642" s="89" t="s">
        <v>2160</v>
      </c>
      <c r="B642" s="82" t="s">
        <v>53</v>
      </c>
      <c r="C642" s="83"/>
      <c r="D642" s="84" t="s">
        <v>39</v>
      </c>
      <c r="E642" s="85">
        <v>45085</v>
      </c>
      <c r="F642" s="85">
        <v>45115</v>
      </c>
      <c r="G642" s="82" t="s">
        <v>71</v>
      </c>
      <c r="H642" s="82" t="s">
        <v>681</v>
      </c>
      <c r="I642" s="82"/>
      <c r="J642" s="82" t="s">
        <v>56</v>
      </c>
      <c r="K642" s="82" t="s">
        <v>2161</v>
      </c>
      <c r="L642" s="86" t="s">
        <v>2162</v>
      </c>
      <c r="M642" s="79"/>
      <c r="N642" s="84">
        <v>3</v>
      </c>
      <c r="O642" s="95"/>
      <c r="P642" s="80"/>
      <c r="Q642" s="84"/>
      <c r="R642" s="101"/>
    </row>
    <row r="643" spans="1:19" ht="37.15" hidden="1" customHeight="1">
      <c r="A643" s="90" t="s">
        <v>2163</v>
      </c>
      <c r="B643" s="74" t="s">
        <v>38</v>
      </c>
      <c r="C643" s="75"/>
      <c r="D643" s="76" t="s">
        <v>39</v>
      </c>
      <c r="E643" s="77">
        <v>45090</v>
      </c>
      <c r="F643" s="77">
        <v>45120</v>
      </c>
      <c r="G643" s="74" t="s">
        <v>493</v>
      </c>
      <c r="H643" s="74" t="s">
        <v>2164</v>
      </c>
      <c r="I643" s="74"/>
      <c r="J643" s="74" t="s">
        <v>2165</v>
      </c>
      <c r="K643" s="74" t="s">
        <v>42</v>
      </c>
      <c r="L643" s="78" t="s">
        <v>2166</v>
      </c>
      <c r="M643" s="79"/>
      <c r="N643" s="76">
        <v>2</v>
      </c>
      <c r="O643" s="95"/>
      <c r="P643" s="80"/>
      <c r="Q643" s="76" t="s">
        <v>776</v>
      </c>
      <c r="R643" s="100">
        <v>45118</v>
      </c>
    </row>
    <row r="644" spans="1:19" ht="37.15" hidden="1" customHeight="1">
      <c r="A644" s="89" t="s">
        <v>2167</v>
      </c>
      <c r="B644" s="82" t="s">
        <v>38</v>
      </c>
      <c r="C644" s="83"/>
      <c r="D644" s="84" t="s">
        <v>39</v>
      </c>
      <c r="E644" s="85">
        <v>45090</v>
      </c>
      <c r="F644" s="85">
        <v>45120</v>
      </c>
      <c r="G644" s="82" t="s">
        <v>2168</v>
      </c>
      <c r="H644" s="82" t="s">
        <v>2169</v>
      </c>
      <c r="I644" s="82"/>
      <c r="J644" s="82" t="s">
        <v>56</v>
      </c>
      <c r="K644" s="82" t="s">
        <v>2170</v>
      </c>
      <c r="L644" s="86" t="s">
        <v>2171</v>
      </c>
      <c r="M644" s="79"/>
      <c r="N644" s="84">
        <v>4</v>
      </c>
      <c r="O644" s="95"/>
      <c r="P644" s="80"/>
      <c r="Q644" s="84" t="s">
        <v>776</v>
      </c>
      <c r="R644" s="129" t="s">
        <v>2172</v>
      </c>
    </row>
    <row r="645" spans="1:19" ht="37.15" hidden="1" customHeight="1">
      <c r="A645" s="90" t="s">
        <v>2173</v>
      </c>
      <c r="B645" s="74" t="s">
        <v>38</v>
      </c>
      <c r="C645" s="75"/>
      <c r="D645" s="76" t="s">
        <v>39</v>
      </c>
      <c r="E645" s="77">
        <v>45090</v>
      </c>
      <c r="F645" s="77">
        <v>45120</v>
      </c>
      <c r="G645" s="74" t="s">
        <v>493</v>
      </c>
      <c r="H645" s="74" t="s">
        <v>2174</v>
      </c>
      <c r="I645" s="74"/>
      <c r="J645" s="74" t="s">
        <v>1393</v>
      </c>
      <c r="K645" s="74" t="s">
        <v>2175</v>
      </c>
      <c r="L645" s="78" t="s">
        <v>2176</v>
      </c>
      <c r="M645" s="79"/>
      <c r="N645" s="112" t="s">
        <v>2177</v>
      </c>
      <c r="O645" s="95"/>
      <c r="P645" s="150"/>
      <c r="Q645" s="76" t="s">
        <v>776</v>
      </c>
      <c r="R645" s="100">
        <v>45134</v>
      </c>
    </row>
    <row r="646" spans="1:19" ht="37.15" customHeight="1">
      <c r="A646" s="89" t="s">
        <v>2178</v>
      </c>
      <c r="B646" s="82" t="s">
        <v>53</v>
      </c>
      <c r="C646" s="83"/>
      <c r="D646" s="84" t="s">
        <v>39</v>
      </c>
      <c r="E646" s="85">
        <v>45091</v>
      </c>
      <c r="F646" s="85">
        <v>45121</v>
      </c>
      <c r="G646" s="82" t="s">
        <v>71</v>
      </c>
      <c r="H646" s="82" t="s">
        <v>2179</v>
      </c>
      <c r="I646" s="82"/>
      <c r="J646" s="82" t="s">
        <v>56</v>
      </c>
      <c r="K646" s="82" t="s">
        <v>2180</v>
      </c>
      <c r="L646" s="151" t="s">
        <v>2181</v>
      </c>
      <c r="M646" s="152"/>
      <c r="N646" s="84">
        <v>3</v>
      </c>
      <c r="O646" s="95"/>
      <c r="P646" s="80"/>
      <c r="Q646" s="84" t="s">
        <v>776</v>
      </c>
      <c r="R646" s="101"/>
    </row>
    <row r="647" spans="1:19" ht="37.15" customHeight="1">
      <c r="A647" s="90" t="s">
        <v>2182</v>
      </c>
      <c r="B647" s="74" t="s">
        <v>53</v>
      </c>
      <c r="C647" s="75"/>
      <c r="D647" s="76" t="s">
        <v>39</v>
      </c>
      <c r="E647" s="77">
        <v>45092</v>
      </c>
      <c r="F647" s="77">
        <v>45122</v>
      </c>
      <c r="G647" s="74" t="s">
        <v>71</v>
      </c>
      <c r="H647" s="74" t="s">
        <v>2183</v>
      </c>
      <c r="I647" s="74"/>
      <c r="J647" s="74" t="s">
        <v>102</v>
      </c>
      <c r="K647" s="74" t="s">
        <v>2184</v>
      </c>
      <c r="L647" s="153" t="s">
        <v>2185</v>
      </c>
      <c r="M647" s="75"/>
      <c r="N647" s="76">
        <v>3</v>
      </c>
      <c r="O647" s="95"/>
      <c r="P647" s="80"/>
      <c r="Q647" s="76" t="s">
        <v>776</v>
      </c>
      <c r="R647" s="100"/>
    </row>
    <row r="648" spans="1:19" ht="37.15" customHeight="1">
      <c r="A648" s="89" t="s">
        <v>2186</v>
      </c>
      <c r="B648" s="82" t="s">
        <v>53</v>
      </c>
      <c r="C648" s="83"/>
      <c r="D648" s="84" t="s">
        <v>39</v>
      </c>
      <c r="E648" s="85">
        <v>45069</v>
      </c>
      <c r="F648" s="85">
        <v>45161</v>
      </c>
      <c r="G648" s="82" t="s">
        <v>71</v>
      </c>
      <c r="H648" s="82" t="s">
        <v>2187</v>
      </c>
      <c r="I648" s="82"/>
      <c r="J648" s="82" t="s">
        <v>56</v>
      </c>
      <c r="K648" s="154" t="s">
        <v>2188</v>
      </c>
      <c r="L648" s="86" t="s">
        <v>2162</v>
      </c>
      <c r="M648" s="79"/>
      <c r="N648" s="84">
        <v>3</v>
      </c>
      <c r="O648" s="95"/>
      <c r="P648" s="80"/>
      <c r="Q648" s="84" t="s">
        <v>776</v>
      </c>
      <c r="R648" s="101"/>
    </row>
    <row r="649" spans="1:19" ht="37.15" hidden="1" customHeight="1">
      <c r="A649" s="90" t="s">
        <v>2189</v>
      </c>
      <c r="B649" s="74" t="s">
        <v>38</v>
      </c>
      <c r="C649" s="75"/>
      <c r="D649" s="76" t="s">
        <v>39</v>
      </c>
      <c r="E649" s="77">
        <v>45093</v>
      </c>
      <c r="F649" s="77">
        <v>45123</v>
      </c>
      <c r="G649" s="74" t="s">
        <v>108</v>
      </c>
      <c r="H649" s="74" t="s">
        <v>2190</v>
      </c>
      <c r="I649" s="74"/>
      <c r="J649" s="74" t="s">
        <v>2191</v>
      </c>
      <c r="K649" s="155" t="s">
        <v>2133</v>
      </c>
      <c r="L649" s="78" t="s">
        <v>2192</v>
      </c>
      <c r="M649" s="79"/>
      <c r="N649" s="76">
        <v>3</v>
      </c>
      <c r="O649" s="95"/>
      <c r="P649" s="80"/>
      <c r="Q649" s="76" t="s">
        <v>776</v>
      </c>
      <c r="R649" s="149">
        <v>45118</v>
      </c>
      <c r="S649" s="123"/>
    </row>
    <row r="650" spans="1:19" ht="37.15" hidden="1" customHeight="1">
      <c r="A650" s="89" t="s">
        <v>2193</v>
      </c>
      <c r="B650" s="82" t="s">
        <v>38</v>
      </c>
      <c r="C650" s="83"/>
      <c r="D650" s="84" t="s">
        <v>39</v>
      </c>
      <c r="E650" s="85">
        <v>45097</v>
      </c>
      <c r="F650" s="85">
        <v>45127</v>
      </c>
      <c r="G650" s="82" t="s">
        <v>108</v>
      </c>
      <c r="H650" s="82" t="s">
        <v>2194</v>
      </c>
      <c r="I650" s="82"/>
      <c r="J650" s="82" t="s">
        <v>809</v>
      </c>
      <c r="K650" s="154" t="s">
        <v>2195</v>
      </c>
      <c r="L650" s="86" t="s">
        <v>2196</v>
      </c>
      <c r="M650" s="79"/>
      <c r="N650" s="84">
        <v>6</v>
      </c>
      <c r="O650" s="95"/>
      <c r="P650" s="80"/>
      <c r="Q650" s="84" t="s">
        <v>776</v>
      </c>
      <c r="R650" s="101">
        <v>45125</v>
      </c>
    </row>
    <row r="651" spans="1:19" ht="37.15" customHeight="1">
      <c r="A651" s="90" t="s">
        <v>2197</v>
      </c>
      <c r="B651" s="74" t="s">
        <v>53</v>
      </c>
      <c r="C651" s="75"/>
      <c r="D651" s="76" t="s">
        <v>39</v>
      </c>
      <c r="E651" s="77">
        <v>45100</v>
      </c>
      <c r="F651" s="77">
        <v>45161</v>
      </c>
      <c r="G651" s="74" t="s">
        <v>71</v>
      </c>
      <c r="H651" s="74" t="s">
        <v>2198</v>
      </c>
      <c r="I651" s="74"/>
      <c r="J651" s="74" t="s">
        <v>56</v>
      </c>
      <c r="K651" s="155" t="s">
        <v>2199</v>
      </c>
      <c r="L651" s="122" t="s">
        <v>2200</v>
      </c>
      <c r="M651" s="79"/>
      <c r="N651" s="76">
        <v>3</v>
      </c>
      <c r="O651" s="95"/>
      <c r="P651" s="80"/>
      <c r="Q651" s="76" t="s">
        <v>776</v>
      </c>
      <c r="R651" s="100"/>
    </row>
    <row r="652" spans="1:19" ht="37.15" customHeight="1">
      <c r="A652" s="89" t="s">
        <v>2201</v>
      </c>
      <c r="B652" s="82" t="s">
        <v>53</v>
      </c>
      <c r="C652" s="83"/>
      <c r="D652" s="84" t="s">
        <v>39</v>
      </c>
      <c r="E652" s="85">
        <v>45100</v>
      </c>
      <c r="F652" s="85">
        <v>45161</v>
      </c>
      <c r="G652" s="82" t="s">
        <v>71</v>
      </c>
      <c r="H652" s="82" t="s">
        <v>2202</v>
      </c>
      <c r="I652" s="82"/>
      <c r="J652" s="82" t="s">
        <v>56</v>
      </c>
      <c r="K652" s="154" t="s">
        <v>2203</v>
      </c>
      <c r="L652" s="121" t="s">
        <v>2204</v>
      </c>
      <c r="M652" s="79"/>
      <c r="N652" s="84">
        <v>3</v>
      </c>
      <c r="O652" s="95"/>
      <c r="P652" s="80"/>
      <c r="Q652" s="84" t="s">
        <v>776</v>
      </c>
      <c r="R652" s="101"/>
    </row>
    <row r="653" spans="1:19" ht="37.15" hidden="1" customHeight="1">
      <c r="A653" s="90" t="s">
        <v>2205</v>
      </c>
      <c r="B653" s="74" t="s">
        <v>47</v>
      </c>
      <c r="C653" s="75"/>
      <c r="D653" s="76" t="s">
        <v>39</v>
      </c>
      <c r="E653" s="77">
        <v>45100</v>
      </c>
      <c r="F653" s="77">
        <v>45130</v>
      </c>
      <c r="G653" s="74" t="s">
        <v>1554</v>
      </c>
      <c r="H653" s="74" t="s">
        <v>2206</v>
      </c>
      <c r="I653" s="74"/>
      <c r="J653" s="74" t="s">
        <v>2207</v>
      </c>
      <c r="K653" s="155" t="s">
        <v>386</v>
      </c>
      <c r="L653" s="78" t="s">
        <v>2208</v>
      </c>
      <c r="M653" s="79"/>
      <c r="N653" s="76">
        <v>3</v>
      </c>
      <c r="O653" s="95"/>
      <c r="P653" s="80"/>
      <c r="Q653" s="76" t="s">
        <v>776</v>
      </c>
      <c r="R653" s="100">
        <v>45107</v>
      </c>
    </row>
    <row r="654" spans="1:19" ht="37.15" customHeight="1">
      <c r="A654" s="89" t="s">
        <v>2209</v>
      </c>
      <c r="B654" s="82" t="s">
        <v>53</v>
      </c>
      <c r="C654" s="83"/>
      <c r="D654" s="84" t="s">
        <v>39</v>
      </c>
      <c r="E654" s="85">
        <v>45103</v>
      </c>
      <c r="F654" s="85">
        <v>45195</v>
      </c>
      <c r="G654" s="82" t="s">
        <v>2210</v>
      </c>
      <c r="H654" s="156" t="s">
        <v>2211</v>
      </c>
      <c r="I654" s="156"/>
      <c r="J654" s="82" t="s">
        <v>56</v>
      </c>
      <c r="K654" s="154" t="s">
        <v>2212</v>
      </c>
      <c r="L654" s="86" t="s">
        <v>2213</v>
      </c>
      <c r="M654" s="79"/>
      <c r="N654" s="84">
        <v>3</v>
      </c>
      <c r="O654" s="95"/>
      <c r="P654" s="80"/>
      <c r="Q654" s="84" t="s">
        <v>776</v>
      </c>
      <c r="R654" s="101">
        <v>45105</v>
      </c>
    </row>
    <row r="655" spans="1:19" ht="37.15" hidden="1" customHeight="1">
      <c r="A655" s="90" t="s">
        <v>2214</v>
      </c>
      <c r="B655" s="74" t="s">
        <v>47</v>
      </c>
      <c r="C655" s="75"/>
      <c r="D655" s="76" t="s">
        <v>39</v>
      </c>
      <c r="E655" s="77">
        <v>45103</v>
      </c>
      <c r="F655" s="77">
        <v>45133</v>
      </c>
      <c r="G655" s="74" t="s">
        <v>279</v>
      </c>
      <c r="H655" s="74" t="s">
        <v>1841</v>
      </c>
      <c r="I655" s="74"/>
      <c r="J655" s="74" t="s">
        <v>56</v>
      </c>
      <c r="K655" s="155" t="s">
        <v>2215</v>
      </c>
      <c r="L655" s="78" t="s">
        <v>2216</v>
      </c>
      <c r="M655" s="79"/>
      <c r="N655" s="76">
        <v>3</v>
      </c>
      <c r="O655" s="95"/>
      <c r="P655" s="80"/>
      <c r="Q655" s="76" t="s">
        <v>776</v>
      </c>
      <c r="R655" s="100">
        <v>45103</v>
      </c>
    </row>
    <row r="656" spans="1:19" ht="37.15" hidden="1" customHeight="1">
      <c r="A656" s="89" t="s">
        <v>2217</v>
      </c>
      <c r="B656" s="82" t="s">
        <v>47</v>
      </c>
      <c r="C656" s="83"/>
      <c r="D656" s="84" t="s">
        <v>39</v>
      </c>
      <c r="E656" s="85">
        <v>45103</v>
      </c>
      <c r="F656" s="85">
        <v>45133</v>
      </c>
      <c r="G656" s="82" t="s">
        <v>2218</v>
      </c>
      <c r="H656" s="82" t="s">
        <v>2219</v>
      </c>
      <c r="I656" s="82" t="s">
        <v>2220</v>
      </c>
      <c r="J656" s="82" t="s">
        <v>56</v>
      </c>
      <c r="K656" s="154" t="s">
        <v>2221</v>
      </c>
      <c r="L656" s="86" t="s">
        <v>2222</v>
      </c>
      <c r="M656" s="79"/>
      <c r="N656" s="84">
        <v>3</v>
      </c>
      <c r="O656" s="95"/>
      <c r="P656" s="80"/>
      <c r="Q656" s="84" t="s">
        <v>776</v>
      </c>
      <c r="R656" s="101">
        <v>45125</v>
      </c>
      <c r="S656" s="157"/>
    </row>
    <row r="657" spans="1:19" ht="37.15" hidden="1" customHeight="1">
      <c r="A657" s="90" t="s">
        <v>2223</v>
      </c>
      <c r="B657" s="74" t="s">
        <v>38</v>
      </c>
      <c r="C657" s="75"/>
      <c r="D657" s="76" t="s">
        <v>39</v>
      </c>
      <c r="E657" s="77">
        <v>45103</v>
      </c>
      <c r="F657" s="77">
        <v>45133</v>
      </c>
      <c r="G657" s="74" t="s">
        <v>108</v>
      </c>
      <c r="H657" s="74" t="s">
        <v>1782</v>
      </c>
      <c r="I657" s="74"/>
      <c r="J657" s="74" t="s">
        <v>56</v>
      </c>
      <c r="K657" s="155" t="s">
        <v>2224</v>
      </c>
      <c r="L657" s="78" t="s">
        <v>2225</v>
      </c>
      <c r="M657" s="79"/>
      <c r="N657" s="76">
        <v>3</v>
      </c>
      <c r="O657" s="95"/>
      <c r="P657" s="80"/>
      <c r="Q657" s="76" t="s">
        <v>776</v>
      </c>
      <c r="R657" s="100">
        <v>45152</v>
      </c>
    </row>
    <row r="658" spans="1:19" ht="37.15" customHeight="1">
      <c r="A658" s="89" t="s">
        <v>2226</v>
      </c>
      <c r="B658" s="82" t="s">
        <v>53</v>
      </c>
      <c r="C658" s="83"/>
      <c r="D658" s="84" t="s">
        <v>39</v>
      </c>
      <c r="E658" s="85">
        <v>45100</v>
      </c>
      <c r="F658" s="85">
        <v>45161</v>
      </c>
      <c r="G658" s="82" t="s">
        <v>71</v>
      </c>
      <c r="H658" s="82" t="s">
        <v>2227</v>
      </c>
      <c r="I658" s="82"/>
      <c r="J658" s="82" t="s">
        <v>56</v>
      </c>
      <c r="K658" s="154" t="s">
        <v>2228</v>
      </c>
      <c r="L658" s="86" t="s">
        <v>2229</v>
      </c>
      <c r="M658" s="79"/>
      <c r="N658" s="84">
        <v>2</v>
      </c>
      <c r="O658" s="95"/>
      <c r="P658" s="80"/>
      <c r="Q658" s="84"/>
      <c r="R658" s="101"/>
    </row>
    <row r="659" spans="1:19" ht="37.15" customHeight="1">
      <c r="A659" s="90" t="s">
        <v>2230</v>
      </c>
      <c r="B659" s="74" t="s">
        <v>53</v>
      </c>
      <c r="C659" s="75"/>
      <c r="D659" s="76" t="s">
        <v>39</v>
      </c>
      <c r="E659" s="77">
        <v>45112</v>
      </c>
      <c r="F659" s="77">
        <v>45174</v>
      </c>
      <c r="G659" s="74" t="s">
        <v>886</v>
      </c>
      <c r="H659" s="74" t="s">
        <v>2231</v>
      </c>
      <c r="I659" s="74"/>
      <c r="J659" s="74" t="s">
        <v>56</v>
      </c>
      <c r="K659" s="155"/>
      <c r="L659" s="78" t="s">
        <v>2232</v>
      </c>
      <c r="M659" s="79"/>
      <c r="N659" s="76">
        <v>4</v>
      </c>
      <c r="O659" s="95"/>
      <c r="P659" s="80"/>
      <c r="Q659" s="76" t="s">
        <v>776</v>
      </c>
      <c r="R659" s="100"/>
    </row>
    <row r="660" spans="1:19" ht="37.15" hidden="1" customHeight="1">
      <c r="A660" s="89" t="s">
        <v>2233</v>
      </c>
      <c r="B660" s="82" t="s">
        <v>47</v>
      </c>
      <c r="C660" s="83"/>
      <c r="D660" s="84" t="s">
        <v>39</v>
      </c>
      <c r="E660" s="85">
        <v>45113</v>
      </c>
      <c r="F660" s="85">
        <v>45144</v>
      </c>
      <c r="G660" s="82" t="s">
        <v>71</v>
      </c>
      <c r="H660" s="82" t="s">
        <v>2234</v>
      </c>
      <c r="I660" s="82" t="s">
        <v>1922</v>
      </c>
      <c r="J660" s="82" t="s">
        <v>56</v>
      </c>
      <c r="K660" s="154" t="s">
        <v>2235</v>
      </c>
      <c r="L660" s="86" t="s">
        <v>2236</v>
      </c>
      <c r="M660" s="79"/>
      <c r="N660" s="84">
        <v>3</v>
      </c>
      <c r="O660" s="95"/>
      <c r="P660" s="80"/>
      <c r="Q660" s="84" t="s">
        <v>776</v>
      </c>
      <c r="R660" s="101">
        <v>45120</v>
      </c>
    </row>
    <row r="661" spans="1:19" ht="37.15" customHeight="1">
      <c r="A661" s="90" t="s">
        <v>2237</v>
      </c>
      <c r="B661" s="74" t="s">
        <v>53</v>
      </c>
      <c r="C661" s="75"/>
      <c r="D661" s="76" t="s">
        <v>39</v>
      </c>
      <c r="E661" s="77">
        <v>45114</v>
      </c>
      <c r="F661" s="77">
        <v>45145</v>
      </c>
      <c r="G661" s="74" t="s">
        <v>71</v>
      </c>
      <c r="H661" s="74" t="s">
        <v>2238</v>
      </c>
      <c r="I661" s="74"/>
      <c r="J661" s="74" t="s">
        <v>2239</v>
      </c>
      <c r="K661" s="155" t="s">
        <v>2240</v>
      </c>
      <c r="L661" s="78" t="s">
        <v>2241</v>
      </c>
      <c r="M661" s="79"/>
      <c r="N661" s="76">
        <v>2</v>
      </c>
      <c r="O661" s="95"/>
      <c r="P661" s="80"/>
      <c r="Q661" s="76"/>
      <c r="R661" s="100"/>
    </row>
    <row r="662" spans="1:19" ht="37.15" hidden="1" customHeight="1">
      <c r="A662" s="89" t="s">
        <v>2242</v>
      </c>
      <c r="B662" s="82" t="s">
        <v>47</v>
      </c>
      <c r="C662" s="83"/>
      <c r="D662" s="84" t="s">
        <v>39</v>
      </c>
      <c r="E662" s="85">
        <v>45117</v>
      </c>
      <c r="F662" s="85">
        <v>45148</v>
      </c>
      <c r="G662" s="82" t="s">
        <v>279</v>
      </c>
      <c r="H662" s="82" t="s">
        <v>2243</v>
      </c>
      <c r="I662" s="82"/>
      <c r="J662" s="82" t="s">
        <v>56</v>
      </c>
      <c r="K662" s="154" t="s">
        <v>2244</v>
      </c>
      <c r="L662" s="86" t="s">
        <v>2245</v>
      </c>
      <c r="M662" s="79"/>
      <c r="N662" s="84">
        <v>3</v>
      </c>
      <c r="O662" s="95"/>
      <c r="P662" s="80"/>
      <c r="Q662" s="84" t="s">
        <v>776</v>
      </c>
      <c r="R662" s="101">
        <v>45121</v>
      </c>
    </row>
    <row r="663" spans="1:19" ht="37.15" hidden="1" customHeight="1">
      <c r="A663" s="90" t="s">
        <v>2246</v>
      </c>
      <c r="B663" s="74" t="s">
        <v>47</v>
      </c>
      <c r="C663" s="75"/>
      <c r="D663" s="76" t="s">
        <v>39</v>
      </c>
      <c r="E663" s="77">
        <v>45117</v>
      </c>
      <c r="F663" s="77">
        <v>45148</v>
      </c>
      <c r="G663" s="74" t="s">
        <v>71</v>
      </c>
      <c r="H663" s="74" t="s">
        <v>1859</v>
      </c>
      <c r="I663" s="74"/>
      <c r="J663" s="74" t="s">
        <v>253</v>
      </c>
      <c r="K663" s="155" t="s">
        <v>2240</v>
      </c>
      <c r="L663" s="78" t="s">
        <v>2247</v>
      </c>
      <c r="M663" s="79"/>
      <c r="N663" s="76">
        <v>4</v>
      </c>
      <c r="O663" s="95"/>
      <c r="P663" s="80"/>
      <c r="Q663" s="76" t="s">
        <v>776</v>
      </c>
      <c r="R663" s="100">
        <v>45120</v>
      </c>
    </row>
    <row r="664" spans="1:19" ht="37.15" hidden="1" customHeight="1">
      <c r="A664" s="21" t="s">
        <v>2248</v>
      </c>
      <c r="B664" s="135" t="s">
        <v>47</v>
      </c>
      <c r="C664" s="136"/>
      <c r="D664" s="137" t="s">
        <v>39</v>
      </c>
      <c r="E664" s="139">
        <v>45124</v>
      </c>
      <c r="F664" s="158" t="s">
        <v>2249</v>
      </c>
      <c r="G664" s="135" t="s">
        <v>2250</v>
      </c>
      <c r="H664" s="135" t="s">
        <v>2251</v>
      </c>
      <c r="I664" s="135"/>
      <c r="J664" s="135" t="s">
        <v>2252</v>
      </c>
      <c r="K664" s="159" t="s">
        <v>2253</v>
      </c>
      <c r="L664" s="140" t="s">
        <v>2254</v>
      </c>
      <c r="M664" s="141"/>
      <c r="N664" s="137">
        <v>3</v>
      </c>
      <c r="O664" s="95"/>
      <c r="P664" s="142"/>
      <c r="Q664" s="160" t="s">
        <v>2255</v>
      </c>
      <c r="R664" s="26" t="s">
        <v>42</v>
      </c>
    </row>
    <row r="665" spans="1:19" ht="37.15" hidden="1" customHeight="1">
      <c r="A665" s="90" t="s">
        <v>2256</v>
      </c>
      <c r="B665" s="74" t="s">
        <v>38</v>
      </c>
      <c r="C665" s="75"/>
      <c r="D665" s="76" t="s">
        <v>39</v>
      </c>
      <c r="E665" s="77">
        <v>45132</v>
      </c>
      <c r="F665" s="77">
        <v>45163</v>
      </c>
      <c r="G665" s="74" t="s">
        <v>71</v>
      </c>
      <c r="H665" s="74" t="s">
        <v>2257</v>
      </c>
      <c r="I665" s="74"/>
      <c r="J665" s="74" t="s">
        <v>2157</v>
      </c>
      <c r="K665" s="155" t="s">
        <v>2258</v>
      </c>
      <c r="L665" s="78" t="s">
        <v>2259</v>
      </c>
      <c r="M665" s="79"/>
      <c r="N665" s="76">
        <v>6</v>
      </c>
      <c r="O665" s="95"/>
      <c r="P665" s="80"/>
      <c r="Q665" s="76" t="s">
        <v>776</v>
      </c>
      <c r="R665" s="100">
        <v>45153</v>
      </c>
      <c r="S665" s="123"/>
    </row>
    <row r="666" spans="1:19" ht="37.15" customHeight="1">
      <c r="A666" s="89" t="s">
        <v>2260</v>
      </c>
      <c r="B666" s="82" t="s">
        <v>53</v>
      </c>
      <c r="C666" s="83"/>
      <c r="D666" s="84" t="s">
        <v>39</v>
      </c>
      <c r="E666" s="85">
        <v>45132</v>
      </c>
      <c r="F666" s="85">
        <v>45163</v>
      </c>
      <c r="G666" s="82" t="s">
        <v>71</v>
      </c>
      <c r="H666" s="82" t="s">
        <v>2261</v>
      </c>
      <c r="I666" s="82"/>
      <c r="J666" s="82" t="s">
        <v>56</v>
      </c>
      <c r="K666" s="154" t="s">
        <v>2262</v>
      </c>
      <c r="L666" s="86" t="s">
        <v>2263</v>
      </c>
      <c r="M666" s="79"/>
      <c r="N666" s="84">
        <v>3</v>
      </c>
      <c r="O666" s="95"/>
      <c r="P666" s="80"/>
      <c r="Q666" s="84" t="s">
        <v>776</v>
      </c>
      <c r="R666" s="101"/>
    </row>
    <row r="667" spans="1:19" ht="37.15" customHeight="1">
      <c r="A667" s="90" t="s">
        <v>2264</v>
      </c>
      <c r="B667" s="74" t="s">
        <v>53</v>
      </c>
      <c r="C667" s="75"/>
      <c r="D667" s="76" t="s">
        <v>39</v>
      </c>
      <c r="E667" s="77">
        <v>45138</v>
      </c>
      <c r="F667" s="77">
        <v>45169</v>
      </c>
      <c r="G667" s="74" t="s">
        <v>71</v>
      </c>
      <c r="H667" s="74" t="s">
        <v>2265</v>
      </c>
      <c r="I667" s="74"/>
      <c r="J667" s="74" t="s">
        <v>56</v>
      </c>
      <c r="K667" s="155" t="s">
        <v>2266</v>
      </c>
      <c r="L667" s="78" t="s">
        <v>2267</v>
      </c>
      <c r="M667" s="79"/>
      <c r="N667" s="76">
        <v>3</v>
      </c>
      <c r="O667" s="95"/>
      <c r="P667" s="80"/>
      <c r="Q667" s="76"/>
      <c r="R667" s="100"/>
    </row>
    <row r="668" spans="1:19" ht="37.15" customHeight="1">
      <c r="A668" s="89" t="s">
        <v>2268</v>
      </c>
      <c r="B668" s="82" t="s">
        <v>53</v>
      </c>
      <c r="C668" s="83"/>
      <c r="D668" s="84" t="s">
        <v>39</v>
      </c>
      <c r="E668" s="85">
        <v>45138</v>
      </c>
      <c r="F668" s="85">
        <v>45169</v>
      </c>
      <c r="G668" s="82" t="s">
        <v>71</v>
      </c>
      <c r="H668" s="82" t="s">
        <v>2269</v>
      </c>
      <c r="I668" s="82"/>
      <c r="J668" s="82" t="s">
        <v>56</v>
      </c>
      <c r="K668" s="154" t="s">
        <v>2270</v>
      </c>
      <c r="L668" s="86" t="s">
        <v>2271</v>
      </c>
      <c r="M668" s="79"/>
      <c r="N668" s="84">
        <v>3</v>
      </c>
      <c r="O668" s="95"/>
      <c r="P668" s="80"/>
      <c r="Q668" s="84"/>
      <c r="R668" s="101"/>
    </row>
    <row r="669" spans="1:19" ht="45">
      <c r="A669" s="90" t="s">
        <v>2272</v>
      </c>
      <c r="B669" s="74" t="s">
        <v>53</v>
      </c>
      <c r="C669" s="75"/>
      <c r="D669" s="76" t="s">
        <v>39</v>
      </c>
      <c r="E669" s="77">
        <v>45138</v>
      </c>
      <c r="F669" s="77">
        <v>45169</v>
      </c>
      <c r="G669" s="74" t="s">
        <v>71</v>
      </c>
      <c r="H669" s="74" t="s">
        <v>2269</v>
      </c>
      <c r="I669" s="74"/>
      <c r="J669" s="74" t="s">
        <v>56</v>
      </c>
      <c r="K669" s="155" t="s">
        <v>2273</v>
      </c>
      <c r="L669" s="122" t="s">
        <v>2274</v>
      </c>
      <c r="M669" s="79"/>
      <c r="N669" s="76">
        <v>3</v>
      </c>
      <c r="O669" s="95"/>
      <c r="P669" s="80"/>
      <c r="Q669" s="76"/>
      <c r="R669" s="100"/>
    </row>
    <row r="670" spans="1:19" ht="15">
      <c r="A670" s="89" t="s">
        <v>2275</v>
      </c>
      <c r="B670" s="82" t="s">
        <v>53</v>
      </c>
      <c r="C670" s="83"/>
      <c r="D670" s="84" t="s">
        <v>39</v>
      </c>
      <c r="E670" s="85">
        <v>45138</v>
      </c>
      <c r="F670" s="85">
        <v>45169</v>
      </c>
      <c r="G670" s="82" t="s">
        <v>71</v>
      </c>
      <c r="H670" s="82" t="s">
        <v>2276</v>
      </c>
      <c r="I670" s="82"/>
      <c r="J670" s="82" t="s">
        <v>56</v>
      </c>
      <c r="K670" s="154" t="s">
        <v>2277</v>
      </c>
      <c r="L670" s="161" t="s">
        <v>2278</v>
      </c>
      <c r="M670" s="79"/>
      <c r="N670" s="84">
        <v>3</v>
      </c>
      <c r="O670" s="95"/>
      <c r="P670" s="80"/>
      <c r="Q670" s="84"/>
      <c r="R670" s="101"/>
    </row>
    <row r="671" spans="1:19" ht="37.15" hidden="1" customHeight="1">
      <c r="A671" s="90" t="s">
        <v>2279</v>
      </c>
      <c r="B671" s="74" t="s">
        <v>47</v>
      </c>
      <c r="C671" s="75"/>
      <c r="D671" s="76" t="s">
        <v>117</v>
      </c>
      <c r="E671" s="77">
        <v>45139</v>
      </c>
      <c r="F671" s="77">
        <v>45170</v>
      </c>
      <c r="G671" s="74" t="s">
        <v>71</v>
      </c>
      <c r="H671" s="74" t="s">
        <v>2280</v>
      </c>
      <c r="I671" s="74"/>
      <c r="J671" s="74" t="s">
        <v>56</v>
      </c>
      <c r="K671" s="155" t="s">
        <v>42</v>
      </c>
      <c r="L671" s="78" t="s">
        <v>2281</v>
      </c>
      <c r="M671" s="79"/>
      <c r="N671" s="76">
        <v>3</v>
      </c>
      <c r="O671" s="95"/>
      <c r="P671" s="80"/>
      <c r="Q671" s="76" t="s">
        <v>776</v>
      </c>
      <c r="R671" s="100">
        <v>45170</v>
      </c>
    </row>
    <row r="672" spans="1:19" ht="37.15" customHeight="1">
      <c r="A672" s="89" t="s">
        <v>2282</v>
      </c>
      <c r="B672" s="82" t="s">
        <v>53</v>
      </c>
      <c r="C672" s="83"/>
      <c r="D672" s="84" t="s">
        <v>39</v>
      </c>
      <c r="E672" s="85">
        <v>45139</v>
      </c>
      <c r="F672" s="85">
        <v>45170</v>
      </c>
      <c r="G672" s="82" t="s">
        <v>71</v>
      </c>
      <c r="H672" s="82" t="s">
        <v>2283</v>
      </c>
      <c r="I672" s="82"/>
      <c r="J672" s="82" t="s">
        <v>102</v>
      </c>
      <c r="K672" s="154" t="s">
        <v>42</v>
      </c>
      <c r="L672" s="86" t="s">
        <v>2284</v>
      </c>
      <c r="M672" s="79"/>
      <c r="N672" s="84">
        <v>2</v>
      </c>
      <c r="O672" s="95"/>
      <c r="P672" s="80"/>
      <c r="Q672" s="84"/>
      <c r="R672" s="101"/>
    </row>
    <row r="673" spans="1:18" ht="30">
      <c r="A673" s="90" t="s">
        <v>2285</v>
      </c>
      <c r="B673" s="74" t="s">
        <v>53</v>
      </c>
      <c r="C673" s="75"/>
      <c r="D673" s="76" t="s">
        <v>39</v>
      </c>
      <c r="E673" s="77">
        <v>45140</v>
      </c>
      <c r="F673" s="77">
        <v>45171</v>
      </c>
      <c r="G673" s="74" t="s">
        <v>71</v>
      </c>
      <c r="H673" s="92" t="s">
        <v>2286</v>
      </c>
      <c r="I673" s="92"/>
      <c r="J673" s="74" t="s">
        <v>385</v>
      </c>
      <c r="K673" s="155">
        <v>953721</v>
      </c>
      <c r="L673" s="78" t="s">
        <v>2287</v>
      </c>
      <c r="M673" s="79"/>
      <c r="N673" s="76">
        <v>2</v>
      </c>
      <c r="O673" s="95"/>
      <c r="P673" s="80"/>
      <c r="Q673" s="76" t="s">
        <v>776</v>
      </c>
      <c r="R673" s="100"/>
    </row>
    <row r="674" spans="1:18" ht="37.15" customHeight="1">
      <c r="A674" s="89" t="s">
        <v>2288</v>
      </c>
      <c r="B674" s="82" t="s">
        <v>53</v>
      </c>
      <c r="C674" s="83"/>
      <c r="D674" s="84" t="s">
        <v>39</v>
      </c>
      <c r="E674" s="85">
        <v>45140</v>
      </c>
      <c r="F674" s="85">
        <v>45171</v>
      </c>
      <c r="G674" s="82" t="s">
        <v>71</v>
      </c>
      <c r="H674" s="91" t="s">
        <v>2289</v>
      </c>
      <c r="I674" s="91"/>
      <c r="J674" s="82" t="s">
        <v>385</v>
      </c>
      <c r="K674" s="154">
        <v>953722</v>
      </c>
      <c r="L674" s="86" t="s">
        <v>2290</v>
      </c>
      <c r="M674" s="79"/>
      <c r="N674" s="84">
        <v>2</v>
      </c>
      <c r="O674" s="95"/>
      <c r="P674" s="80"/>
      <c r="Q674" s="84" t="s">
        <v>776</v>
      </c>
      <c r="R674" s="101"/>
    </row>
    <row r="675" spans="1:18" ht="37.15" customHeight="1">
      <c r="A675" s="74" t="s">
        <v>2291</v>
      </c>
      <c r="B675" s="74" t="s">
        <v>53</v>
      </c>
      <c r="C675" s="75"/>
      <c r="D675" s="76" t="s">
        <v>39</v>
      </c>
      <c r="E675" s="77">
        <v>45141</v>
      </c>
      <c r="F675" s="77">
        <v>45172</v>
      </c>
      <c r="G675" s="74" t="s">
        <v>71</v>
      </c>
      <c r="H675" s="74" t="s">
        <v>2292</v>
      </c>
      <c r="I675" s="74"/>
      <c r="J675" s="74" t="s">
        <v>385</v>
      </c>
      <c r="K675" s="155">
        <v>935596</v>
      </c>
      <c r="L675" s="78" t="s">
        <v>2293</v>
      </c>
      <c r="M675" s="79"/>
      <c r="N675" s="76">
        <v>2</v>
      </c>
      <c r="O675" s="95"/>
      <c r="P675" s="80"/>
      <c r="Q675" s="76"/>
      <c r="R675" s="100"/>
    </row>
    <row r="676" spans="1:18" ht="37.15" customHeight="1">
      <c r="A676" s="89" t="s">
        <v>2294</v>
      </c>
      <c r="B676" s="82" t="s">
        <v>53</v>
      </c>
      <c r="C676" s="83"/>
      <c r="D676" s="84" t="s">
        <v>39</v>
      </c>
      <c r="E676" s="85">
        <v>45154</v>
      </c>
      <c r="F676" s="85">
        <v>45215</v>
      </c>
      <c r="G676" s="82" t="s">
        <v>71</v>
      </c>
      <c r="H676" s="82" t="s">
        <v>2295</v>
      </c>
      <c r="I676" s="82"/>
      <c r="J676" s="82" t="s">
        <v>399</v>
      </c>
      <c r="K676" s="154" t="s">
        <v>42</v>
      </c>
      <c r="L676" s="86" t="s">
        <v>2296</v>
      </c>
      <c r="M676" s="79"/>
      <c r="N676" s="84">
        <v>3</v>
      </c>
      <c r="O676" s="95"/>
      <c r="P676" s="80"/>
      <c r="Q676" s="84"/>
      <c r="R676" s="101"/>
    </row>
    <row r="677" spans="1:18" ht="37.15" customHeight="1">
      <c r="A677" s="90" t="s">
        <v>2297</v>
      </c>
      <c r="B677" s="74" t="s">
        <v>53</v>
      </c>
      <c r="C677" s="75"/>
      <c r="D677" s="76" t="s">
        <v>39</v>
      </c>
      <c r="E677" s="77">
        <v>45155</v>
      </c>
      <c r="F677" s="77">
        <v>45247</v>
      </c>
      <c r="G677" s="74" t="s">
        <v>71</v>
      </c>
      <c r="H677" s="74" t="s">
        <v>2298</v>
      </c>
      <c r="I677" s="74"/>
      <c r="J677" s="74" t="s">
        <v>102</v>
      </c>
      <c r="K677" s="155" t="s">
        <v>42</v>
      </c>
      <c r="L677" s="78" t="s">
        <v>2299</v>
      </c>
      <c r="M677" s="79"/>
      <c r="N677" s="76">
        <v>3</v>
      </c>
      <c r="O677" s="95"/>
      <c r="P677" s="80"/>
      <c r="Q677" s="76"/>
      <c r="R677" s="100">
        <v>45161</v>
      </c>
    </row>
    <row r="678" spans="1:18" ht="60">
      <c r="A678" s="89" t="s">
        <v>2300</v>
      </c>
      <c r="B678" s="82" t="s">
        <v>53</v>
      </c>
      <c r="C678" s="83"/>
      <c r="D678" s="84" t="s">
        <v>39</v>
      </c>
      <c r="E678" s="85">
        <v>45161</v>
      </c>
      <c r="F678" s="85">
        <v>45253</v>
      </c>
      <c r="G678" s="82" t="s">
        <v>71</v>
      </c>
      <c r="H678" s="91" t="s">
        <v>2301</v>
      </c>
      <c r="I678" s="91"/>
      <c r="J678" s="82" t="s">
        <v>56</v>
      </c>
      <c r="K678" s="154">
        <v>513996</v>
      </c>
      <c r="L678" s="86" t="s">
        <v>2302</v>
      </c>
      <c r="M678" s="79"/>
      <c r="N678" s="84">
        <v>3</v>
      </c>
      <c r="O678" s="95"/>
      <c r="P678" s="80"/>
      <c r="Q678" s="84" t="s">
        <v>776</v>
      </c>
      <c r="R678" s="101">
        <v>45169</v>
      </c>
    </row>
    <row r="679" spans="1:18" ht="37.15" hidden="1" customHeight="1">
      <c r="A679" s="90" t="s">
        <v>2303</v>
      </c>
      <c r="B679" s="74" t="s">
        <v>47</v>
      </c>
      <c r="C679" s="75"/>
      <c r="D679" s="76" t="s">
        <v>39</v>
      </c>
      <c r="E679" s="77">
        <v>45161</v>
      </c>
      <c r="F679" s="77">
        <v>45192</v>
      </c>
      <c r="G679" s="74" t="s">
        <v>71</v>
      </c>
      <c r="H679" s="92" t="s">
        <v>1181</v>
      </c>
      <c r="I679" s="92" t="s">
        <v>2304</v>
      </c>
      <c r="J679" s="74" t="s">
        <v>56</v>
      </c>
      <c r="K679" s="155" t="s">
        <v>386</v>
      </c>
      <c r="L679" s="78" t="s">
        <v>2305</v>
      </c>
      <c r="M679" s="79"/>
      <c r="N679" s="76">
        <v>3</v>
      </c>
      <c r="O679" s="95"/>
      <c r="P679" s="80"/>
      <c r="Q679" s="76" t="s">
        <v>776</v>
      </c>
      <c r="R679" s="100">
        <v>45170</v>
      </c>
    </row>
    <row r="680" spans="1:18" ht="37.15" hidden="1" customHeight="1">
      <c r="A680" s="89" t="s">
        <v>2306</v>
      </c>
      <c r="B680" s="82" t="s">
        <v>38</v>
      </c>
      <c r="C680" s="83"/>
      <c r="D680" s="84" t="s">
        <v>117</v>
      </c>
      <c r="E680" s="85">
        <v>45161</v>
      </c>
      <c r="F680" s="85">
        <f>E680+30</f>
        <v>45191</v>
      </c>
      <c r="G680" s="82" t="s">
        <v>108</v>
      </c>
      <c r="H680" s="82" t="s">
        <v>2307</v>
      </c>
      <c r="I680" s="82"/>
      <c r="J680" s="82" t="s">
        <v>1378</v>
      </c>
      <c r="K680" s="154" t="s">
        <v>2308</v>
      </c>
      <c r="L680" s="86" t="s">
        <v>2309</v>
      </c>
      <c r="M680" s="79"/>
      <c r="N680" s="84">
        <v>3</v>
      </c>
      <c r="O680" s="95"/>
      <c r="P680" s="80"/>
      <c r="Q680" s="84" t="s">
        <v>776</v>
      </c>
      <c r="R680" s="101" t="s">
        <v>2310</v>
      </c>
    </row>
    <row r="681" spans="1:18" ht="37.15" customHeight="1">
      <c r="A681" s="90" t="s">
        <v>2311</v>
      </c>
      <c r="B681" s="74" t="s">
        <v>53</v>
      </c>
      <c r="C681" s="75"/>
      <c r="D681" s="76" t="s">
        <v>39</v>
      </c>
      <c r="E681" s="77">
        <v>45162</v>
      </c>
      <c r="F681" s="77">
        <v>45193</v>
      </c>
      <c r="G681" s="74" t="s">
        <v>71</v>
      </c>
      <c r="H681" s="74" t="s">
        <v>2312</v>
      </c>
      <c r="I681" s="74"/>
      <c r="J681" s="74" t="s">
        <v>56</v>
      </c>
      <c r="K681" s="155">
        <v>514013</v>
      </c>
      <c r="L681" s="78" t="s">
        <v>2313</v>
      </c>
      <c r="M681" s="79"/>
      <c r="N681" s="76">
        <v>3</v>
      </c>
      <c r="O681" s="95"/>
      <c r="P681" s="80"/>
      <c r="Q681" s="76"/>
      <c r="R681" s="100"/>
    </row>
    <row r="682" spans="1:18" ht="37.15" hidden="1" customHeight="1">
      <c r="A682" s="89" t="s">
        <v>2314</v>
      </c>
      <c r="B682" s="82" t="s">
        <v>38</v>
      </c>
      <c r="C682" s="83"/>
      <c r="D682" s="84" t="s">
        <v>117</v>
      </c>
      <c r="E682" s="85">
        <v>45163</v>
      </c>
      <c r="F682" s="85">
        <v>45194</v>
      </c>
      <c r="G682" s="82" t="s">
        <v>71</v>
      </c>
      <c r="H682" s="82" t="s">
        <v>2315</v>
      </c>
      <c r="I682" s="82"/>
      <c r="J682" s="82" t="s">
        <v>2157</v>
      </c>
      <c r="K682" s="154" t="s">
        <v>2316</v>
      </c>
      <c r="L682" s="86" t="s">
        <v>2317</v>
      </c>
      <c r="M682" s="79"/>
      <c r="N682" s="84">
        <v>3</v>
      </c>
      <c r="O682" s="95"/>
      <c r="P682" s="80"/>
      <c r="Q682" s="84" t="s">
        <v>776</v>
      </c>
      <c r="R682" s="101">
        <v>45370</v>
      </c>
    </row>
    <row r="683" spans="1:18" ht="37.15" customHeight="1">
      <c r="A683" s="90" t="s">
        <v>2318</v>
      </c>
      <c r="B683" s="74" t="s">
        <v>53</v>
      </c>
      <c r="C683" s="75"/>
      <c r="D683" s="76" t="s">
        <v>39</v>
      </c>
      <c r="E683" s="77">
        <v>45176</v>
      </c>
      <c r="F683" s="77">
        <v>45267</v>
      </c>
      <c r="G683" s="74" t="s">
        <v>71</v>
      </c>
      <c r="H683" s="74" t="s">
        <v>2319</v>
      </c>
      <c r="I683" s="74"/>
      <c r="J683" s="74" t="s">
        <v>81</v>
      </c>
      <c r="K683" s="155">
        <v>935641</v>
      </c>
      <c r="L683" s="78" t="s">
        <v>2320</v>
      </c>
      <c r="M683" s="79"/>
      <c r="N683" s="76">
        <v>3</v>
      </c>
      <c r="O683" s="95"/>
      <c r="P683" s="80"/>
      <c r="Q683" s="76"/>
      <c r="R683" s="100"/>
    </row>
    <row r="684" spans="1:18" ht="57.75" customHeight="1">
      <c r="A684" s="89" t="s">
        <v>2321</v>
      </c>
      <c r="B684" s="82" t="s">
        <v>53</v>
      </c>
      <c r="C684" s="83"/>
      <c r="D684" s="84" t="s">
        <v>39</v>
      </c>
      <c r="E684" s="85">
        <v>45176</v>
      </c>
      <c r="F684" s="85">
        <v>45267</v>
      </c>
      <c r="G684" s="82" t="s">
        <v>71</v>
      </c>
      <c r="H684" s="82" t="s">
        <v>2322</v>
      </c>
      <c r="I684" s="82"/>
      <c r="J684" s="82" t="s">
        <v>385</v>
      </c>
      <c r="K684" s="154" t="s">
        <v>2323</v>
      </c>
      <c r="L684" s="86" t="s">
        <v>2324</v>
      </c>
      <c r="M684" s="79"/>
      <c r="N684" s="84">
        <v>3</v>
      </c>
      <c r="O684" s="95"/>
      <c r="P684" s="80"/>
      <c r="Q684" s="84"/>
      <c r="R684" s="101"/>
    </row>
    <row r="685" spans="1:18" ht="37.15" customHeight="1">
      <c r="A685" s="90" t="s">
        <v>2325</v>
      </c>
      <c r="B685" s="74" t="s">
        <v>53</v>
      </c>
      <c r="C685" s="75"/>
      <c r="D685" s="76" t="s">
        <v>39</v>
      </c>
      <c r="E685" s="77">
        <v>45194</v>
      </c>
      <c r="F685" s="77">
        <v>45285</v>
      </c>
      <c r="G685" s="74" t="s">
        <v>71</v>
      </c>
      <c r="H685" s="92" t="s">
        <v>2326</v>
      </c>
      <c r="I685" s="92"/>
      <c r="J685" s="74" t="s">
        <v>1378</v>
      </c>
      <c r="K685" s="155" t="s">
        <v>42</v>
      </c>
      <c r="L685" s="78" t="s">
        <v>2327</v>
      </c>
      <c r="M685" s="79"/>
      <c r="N685" s="76">
        <v>3</v>
      </c>
      <c r="O685" s="95"/>
      <c r="P685" s="80"/>
      <c r="Q685" s="76"/>
      <c r="R685" s="100"/>
    </row>
    <row r="686" spans="1:18" ht="37.15" customHeight="1">
      <c r="A686" s="89" t="s">
        <v>2328</v>
      </c>
      <c r="B686" s="82" t="s">
        <v>53</v>
      </c>
      <c r="C686" s="83"/>
      <c r="D686" s="84" t="s">
        <v>39</v>
      </c>
      <c r="E686" s="85">
        <v>45194</v>
      </c>
      <c r="F686" s="85">
        <v>45285</v>
      </c>
      <c r="G686" s="82" t="s">
        <v>71</v>
      </c>
      <c r="H686" s="91" t="s">
        <v>2329</v>
      </c>
      <c r="I686" s="91"/>
      <c r="J686" s="82" t="s">
        <v>56</v>
      </c>
      <c r="K686" s="154" t="s">
        <v>42</v>
      </c>
      <c r="L686" s="86" t="s">
        <v>2330</v>
      </c>
      <c r="M686" s="79"/>
      <c r="N686" s="84">
        <v>3</v>
      </c>
      <c r="O686" s="95"/>
      <c r="P686" s="80"/>
      <c r="Q686" s="84" t="s">
        <v>776</v>
      </c>
      <c r="R686" s="101">
        <v>45202</v>
      </c>
    </row>
    <row r="687" spans="1:18" ht="37.15" customHeight="1">
      <c r="A687" s="90" t="s">
        <v>2331</v>
      </c>
      <c r="B687" s="74" t="s">
        <v>53</v>
      </c>
      <c r="C687" s="75"/>
      <c r="D687" s="76" t="s">
        <v>39</v>
      </c>
      <c r="E687" s="77">
        <v>45203</v>
      </c>
      <c r="F687" s="77">
        <v>45295</v>
      </c>
      <c r="G687" s="74" t="s">
        <v>71</v>
      </c>
      <c r="H687" s="74" t="s">
        <v>2332</v>
      </c>
      <c r="I687" s="74"/>
      <c r="J687" s="74" t="s">
        <v>56</v>
      </c>
      <c r="K687" s="155" t="s">
        <v>42</v>
      </c>
      <c r="L687" s="78" t="s">
        <v>2333</v>
      </c>
      <c r="M687" s="79"/>
      <c r="N687" s="76">
        <v>3</v>
      </c>
      <c r="O687" s="95"/>
      <c r="P687" s="80"/>
      <c r="Q687" s="76"/>
      <c r="R687" s="100"/>
    </row>
    <row r="688" spans="1:18" ht="37.15" customHeight="1">
      <c r="A688" s="89" t="s">
        <v>2334</v>
      </c>
      <c r="B688" s="82" t="s">
        <v>53</v>
      </c>
      <c r="C688" s="83"/>
      <c r="D688" s="84" t="s">
        <v>39</v>
      </c>
      <c r="E688" s="85">
        <v>45204</v>
      </c>
      <c r="F688" s="85">
        <v>45295</v>
      </c>
      <c r="G688" s="82" t="s">
        <v>71</v>
      </c>
      <c r="H688" s="91" t="s">
        <v>2335</v>
      </c>
      <c r="I688" s="91"/>
      <c r="J688" s="82" t="s">
        <v>56</v>
      </c>
      <c r="K688" s="154">
        <v>514269</v>
      </c>
      <c r="L688" s="86" t="s">
        <v>2336</v>
      </c>
      <c r="M688" s="79"/>
      <c r="N688" s="84">
        <v>3</v>
      </c>
      <c r="O688" s="95"/>
      <c r="P688" s="80"/>
      <c r="Q688" s="84"/>
      <c r="R688" s="101"/>
    </row>
    <row r="689" spans="1:18" ht="37.15" customHeight="1">
      <c r="A689" s="90" t="s">
        <v>2337</v>
      </c>
      <c r="B689" s="74" t="s">
        <v>53</v>
      </c>
      <c r="C689" s="75"/>
      <c r="D689" s="76" t="s">
        <v>39</v>
      </c>
      <c r="E689" s="77">
        <v>45205</v>
      </c>
      <c r="F689" s="77">
        <v>45297</v>
      </c>
      <c r="G689" s="74" t="s">
        <v>71</v>
      </c>
      <c r="H689" s="76" t="s">
        <v>2338</v>
      </c>
      <c r="I689" s="76"/>
      <c r="J689" s="74" t="s">
        <v>56</v>
      </c>
      <c r="K689" s="155">
        <v>953783</v>
      </c>
      <c r="L689" s="78" t="s">
        <v>2339</v>
      </c>
      <c r="M689" s="79"/>
      <c r="N689" s="76">
        <v>3</v>
      </c>
      <c r="O689" s="95"/>
      <c r="P689" s="80"/>
      <c r="Q689" s="76"/>
      <c r="R689" s="100"/>
    </row>
    <row r="690" spans="1:18" ht="37.15" customHeight="1">
      <c r="A690" s="89" t="s">
        <v>2340</v>
      </c>
      <c r="B690" s="82" t="s">
        <v>53</v>
      </c>
      <c r="C690" s="83"/>
      <c r="D690" s="84" t="s">
        <v>39</v>
      </c>
      <c r="E690" s="85">
        <v>45218</v>
      </c>
      <c r="F690" s="85">
        <v>45310</v>
      </c>
      <c r="G690" s="82" t="s">
        <v>71</v>
      </c>
      <c r="H690" s="91" t="s">
        <v>2335</v>
      </c>
      <c r="I690" s="91"/>
      <c r="J690" s="82" t="s">
        <v>56</v>
      </c>
      <c r="K690" s="154" t="s">
        <v>42</v>
      </c>
      <c r="L690" s="86" t="s">
        <v>2341</v>
      </c>
      <c r="M690" s="79"/>
      <c r="N690" s="84">
        <v>3</v>
      </c>
      <c r="O690" s="95"/>
      <c r="P690" s="80"/>
      <c r="Q690" s="84"/>
      <c r="R690" s="101"/>
    </row>
    <row r="691" spans="1:18" ht="37.15" hidden="1" customHeight="1">
      <c r="A691" s="90" t="s">
        <v>2342</v>
      </c>
      <c r="B691" s="74" t="s">
        <v>38</v>
      </c>
      <c r="C691" s="75"/>
      <c r="D691" s="76" t="s">
        <v>117</v>
      </c>
      <c r="E691" s="77">
        <v>45222</v>
      </c>
      <c r="F691" s="77">
        <v>45254</v>
      </c>
      <c r="G691" s="74" t="s">
        <v>108</v>
      </c>
      <c r="H691" s="74" t="s">
        <v>2343</v>
      </c>
      <c r="I691" s="74"/>
      <c r="J691" s="74" t="s">
        <v>1378</v>
      </c>
      <c r="K691" s="155" t="s">
        <v>2344</v>
      </c>
      <c r="L691" s="78" t="s">
        <v>2309</v>
      </c>
      <c r="M691" s="79"/>
      <c r="N691" s="76">
        <v>3</v>
      </c>
      <c r="O691" s="95"/>
      <c r="P691" s="80"/>
      <c r="Q691" s="76" t="s">
        <v>776</v>
      </c>
      <c r="R691" s="100">
        <v>45295</v>
      </c>
    </row>
    <row r="692" spans="1:18" ht="45" hidden="1">
      <c r="A692" s="89" t="s">
        <v>2345</v>
      </c>
      <c r="B692" s="82" t="s">
        <v>47</v>
      </c>
      <c r="C692" s="83"/>
      <c r="D692" s="84" t="s">
        <v>39</v>
      </c>
      <c r="E692" s="85">
        <v>45224</v>
      </c>
      <c r="F692" s="85">
        <v>45255</v>
      </c>
      <c r="G692" s="82" t="s">
        <v>71</v>
      </c>
      <c r="H692" s="82" t="s">
        <v>2156</v>
      </c>
      <c r="I692" s="82" t="s">
        <v>2346</v>
      </c>
      <c r="J692" s="82" t="s">
        <v>2347</v>
      </c>
      <c r="K692" s="154" t="s">
        <v>2348</v>
      </c>
      <c r="L692" s="86" t="s">
        <v>2349</v>
      </c>
      <c r="M692" s="79"/>
      <c r="N692" s="84">
        <v>3</v>
      </c>
      <c r="O692" s="95"/>
      <c r="P692" s="80"/>
      <c r="Q692" s="105" t="s">
        <v>776</v>
      </c>
      <c r="R692" s="101">
        <v>45236</v>
      </c>
    </row>
    <row r="693" spans="1:18" ht="37.15" hidden="1" customHeight="1">
      <c r="A693" s="90" t="s">
        <v>2350</v>
      </c>
      <c r="B693" s="74" t="s">
        <v>47</v>
      </c>
      <c r="C693" s="75"/>
      <c r="D693" s="76" t="s">
        <v>39</v>
      </c>
      <c r="E693" s="77">
        <v>45232</v>
      </c>
      <c r="F693" s="77">
        <v>45262</v>
      </c>
      <c r="G693" s="74" t="s">
        <v>71</v>
      </c>
      <c r="H693" s="74" t="s">
        <v>1504</v>
      </c>
      <c r="I693" s="74"/>
      <c r="J693" s="74" t="s">
        <v>56</v>
      </c>
      <c r="K693" s="155" t="s">
        <v>42</v>
      </c>
      <c r="L693" s="78" t="s">
        <v>2351</v>
      </c>
      <c r="M693" s="79"/>
      <c r="N693" s="76">
        <v>3</v>
      </c>
      <c r="O693" s="95"/>
      <c r="P693" s="80"/>
      <c r="Q693" s="76" t="s">
        <v>776</v>
      </c>
      <c r="R693" s="100">
        <v>45239</v>
      </c>
    </row>
    <row r="694" spans="1:18" ht="37.15" hidden="1" customHeight="1">
      <c r="A694" s="89" t="s">
        <v>2352</v>
      </c>
      <c r="B694" s="82" t="s">
        <v>38</v>
      </c>
      <c r="C694" s="83"/>
      <c r="D694" s="84" t="s">
        <v>39</v>
      </c>
      <c r="E694" s="85">
        <v>45237</v>
      </c>
      <c r="F694" s="85">
        <v>45267</v>
      </c>
      <c r="G694" s="82" t="s">
        <v>108</v>
      </c>
      <c r="H694" s="154" t="s">
        <v>2353</v>
      </c>
      <c r="I694" s="154"/>
      <c r="J694" s="82" t="s">
        <v>56</v>
      </c>
      <c r="K694" s="154" t="s">
        <v>42</v>
      </c>
      <c r="L694" s="86" t="s">
        <v>2354</v>
      </c>
      <c r="M694" s="79"/>
      <c r="N694" s="84">
        <v>3</v>
      </c>
      <c r="O694" s="95"/>
      <c r="P694" s="80"/>
      <c r="Q694" s="105" t="s">
        <v>776</v>
      </c>
      <c r="R694" s="101">
        <v>45239</v>
      </c>
    </row>
    <row r="695" spans="1:18" ht="37.15" hidden="1" customHeight="1">
      <c r="A695" s="90" t="s">
        <v>2355</v>
      </c>
      <c r="B695" s="74" t="s">
        <v>38</v>
      </c>
      <c r="C695" s="75"/>
      <c r="D695" s="76" t="s">
        <v>117</v>
      </c>
      <c r="E695" s="77">
        <v>45237</v>
      </c>
      <c r="F695" s="77">
        <v>45322</v>
      </c>
      <c r="G695" s="74" t="s">
        <v>108</v>
      </c>
      <c r="H695" s="74" t="s">
        <v>2356</v>
      </c>
      <c r="I695" s="74"/>
      <c r="J695" s="74" t="s">
        <v>81</v>
      </c>
      <c r="K695" s="155" t="s">
        <v>2357</v>
      </c>
      <c r="L695" s="78" t="s">
        <v>2358</v>
      </c>
      <c r="M695" s="79"/>
      <c r="N695" s="76">
        <v>2</v>
      </c>
      <c r="O695" s="95"/>
      <c r="P695" s="80"/>
      <c r="Q695" s="76" t="s">
        <v>776</v>
      </c>
      <c r="R695" s="100" t="s">
        <v>2359</v>
      </c>
    </row>
    <row r="696" spans="1:18" ht="37.15" hidden="1" customHeight="1">
      <c r="A696" s="89" t="s">
        <v>2360</v>
      </c>
      <c r="B696" s="82" t="s">
        <v>38</v>
      </c>
      <c r="C696" s="83"/>
      <c r="D696" s="84" t="s">
        <v>39</v>
      </c>
      <c r="E696" s="85">
        <v>45246</v>
      </c>
      <c r="F696" s="85">
        <v>45276</v>
      </c>
      <c r="G696" s="82" t="s">
        <v>108</v>
      </c>
      <c r="H696" s="82" t="s">
        <v>2361</v>
      </c>
      <c r="I696" s="82"/>
      <c r="J696" s="82" t="s">
        <v>201</v>
      </c>
      <c r="K696" s="154" t="s">
        <v>2362</v>
      </c>
      <c r="L696" s="86" t="s">
        <v>2363</v>
      </c>
      <c r="M696" s="79"/>
      <c r="N696" s="84">
        <v>3</v>
      </c>
      <c r="O696" s="95"/>
      <c r="P696" s="80"/>
      <c r="Q696" s="84" t="s">
        <v>776</v>
      </c>
      <c r="R696" s="101">
        <v>45254</v>
      </c>
    </row>
    <row r="697" spans="1:18" ht="37.15" hidden="1" customHeight="1">
      <c r="A697" s="90" t="s">
        <v>2364</v>
      </c>
      <c r="B697" s="74" t="s">
        <v>47</v>
      </c>
      <c r="C697" s="75"/>
      <c r="D697" s="76" t="s">
        <v>117</v>
      </c>
      <c r="E697" s="77">
        <v>45253</v>
      </c>
      <c r="F697" s="77">
        <v>45283</v>
      </c>
      <c r="G697" s="74" t="s">
        <v>71</v>
      </c>
      <c r="H697" s="74" t="s">
        <v>1432</v>
      </c>
      <c r="I697" s="74"/>
      <c r="J697" s="74" t="s">
        <v>56</v>
      </c>
      <c r="K697" s="155" t="s">
        <v>386</v>
      </c>
      <c r="L697" s="78" t="s">
        <v>2365</v>
      </c>
      <c r="M697" s="79"/>
      <c r="N697" s="76">
        <v>3</v>
      </c>
      <c r="O697" s="95"/>
      <c r="P697" s="80"/>
      <c r="Q697" s="76" t="s">
        <v>776</v>
      </c>
      <c r="R697" s="100">
        <v>45254</v>
      </c>
    </row>
    <row r="698" spans="1:18" ht="37.15" hidden="1" customHeight="1">
      <c r="A698" s="89" t="s">
        <v>2366</v>
      </c>
      <c r="B698" s="82" t="s">
        <v>47</v>
      </c>
      <c r="C698" s="83"/>
      <c r="D698" s="84" t="s">
        <v>39</v>
      </c>
      <c r="E698" s="85">
        <v>45253</v>
      </c>
      <c r="F698" s="85">
        <v>45283</v>
      </c>
      <c r="G698" s="82" t="s">
        <v>71</v>
      </c>
      <c r="H698" s="82" t="s">
        <v>2367</v>
      </c>
      <c r="I698" s="82" t="s">
        <v>1922</v>
      </c>
      <c r="J698" s="82" t="s">
        <v>56</v>
      </c>
      <c r="K698" s="154" t="s">
        <v>2368</v>
      </c>
      <c r="L698" s="86" t="s">
        <v>2369</v>
      </c>
      <c r="M698" s="79"/>
      <c r="N698" s="84">
        <v>3</v>
      </c>
      <c r="O698" s="95"/>
      <c r="P698" s="80"/>
      <c r="Q698" s="84" t="s">
        <v>776</v>
      </c>
      <c r="R698" s="101">
        <v>45254</v>
      </c>
    </row>
    <row r="699" spans="1:18" ht="37.15" customHeight="1">
      <c r="A699" s="90" t="s">
        <v>2370</v>
      </c>
      <c r="B699" s="74" t="s">
        <v>53</v>
      </c>
      <c r="C699" s="75"/>
      <c r="D699" s="76" t="s">
        <v>39</v>
      </c>
      <c r="E699" s="77">
        <v>45264</v>
      </c>
      <c r="F699" s="77">
        <v>45355</v>
      </c>
      <c r="G699" s="74" t="s">
        <v>71</v>
      </c>
      <c r="H699" s="92" t="s">
        <v>2286</v>
      </c>
      <c r="I699" s="92"/>
      <c r="J699" s="74" t="s">
        <v>56</v>
      </c>
      <c r="K699" s="162">
        <v>935778</v>
      </c>
      <c r="L699" s="161" t="s">
        <v>2371</v>
      </c>
      <c r="M699" s="79"/>
      <c r="N699" s="76">
        <v>3</v>
      </c>
      <c r="O699" s="95"/>
      <c r="P699" s="80"/>
      <c r="Q699" s="76"/>
      <c r="R699" s="100"/>
    </row>
    <row r="700" spans="1:18" ht="45">
      <c r="A700" s="89" t="s">
        <v>2372</v>
      </c>
      <c r="B700" s="82" t="s">
        <v>53</v>
      </c>
      <c r="C700" s="83"/>
      <c r="D700" s="84" t="s">
        <v>39</v>
      </c>
      <c r="E700" s="85">
        <v>45264</v>
      </c>
      <c r="F700" s="85">
        <v>45355</v>
      </c>
      <c r="G700" s="82" t="s">
        <v>2373</v>
      </c>
      <c r="H700" s="163" t="s">
        <v>2374</v>
      </c>
      <c r="I700" s="163"/>
      <c r="J700" s="82" t="s">
        <v>56</v>
      </c>
      <c r="K700" s="160" t="s">
        <v>2375</v>
      </c>
      <c r="L700" s="86" t="s">
        <v>2376</v>
      </c>
      <c r="M700" s="79"/>
      <c r="N700" s="84">
        <v>3</v>
      </c>
      <c r="O700" s="95"/>
      <c r="P700" s="80"/>
      <c r="Q700" s="84" t="s">
        <v>776</v>
      </c>
      <c r="R700" s="101"/>
    </row>
    <row r="701" spans="1:18" ht="72" customHeight="1">
      <c r="A701" s="90" t="s">
        <v>2377</v>
      </c>
      <c r="B701" s="74" t="s">
        <v>53</v>
      </c>
      <c r="C701" s="75"/>
      <c r="D701" s="76" t="s">
        <v>39</v>
      </c>
      <c r="E701" s="77">
        <v>45264</v>
      </c>
      <c r="F701" s="77">
        <v>45355</v>
      </c>
      <c r="G701" s="74" t="s">
        <v>71</v>
      </c>
      <c r="H701" s="74" t="s">
        <v>2378</v>
      </c>
      <c r="I701" s="74"/>
      <c r="J701" s="74" t="s">
        <v>102</v>
      </c>
      <c r="K701" s="155">
        <v>514607</v>
      </c>
      <c r="L701" s="78" t="s">
        <v>2379</v>
      </c>
      <c r="M701" s="79"/>
      <c r="N701" s="76">
        <v>3</v>
      </c>
      <c r="O701" s="95"/>
      <c r="P701" s="80"/>
      <c r="Q701" s="76"/>
      <c r="R701" s="100"/>
    </row>
    <row r="702" spans="1:18" ht="45">
      <c r="A702" s="89" t="s">
        <v>2380</v>
      </c>
      <c r="B702" s="82" t="s">
        <v>53</v>
      </c>
      <c r="C702" s="83"/>
      <c r="D702" s="84" t="s">
        <v>39</v>
      </c>
      <c r="E702" s="85">
        <v>45265</v>
      </c>
      <c r="F702" s="85">
        <v>45356</v>
      </c>
      <c r="G702" s="82" t="s">
        <v>71</v>
      </c>
      <c r="H702" s="82" t="s">
        <v>2381</v>
      </c>
      <c r="I702" s="82"/>
      <c r="J702" s="82" t="s">
        <v>56</v>
      </c>
      <c r="K702" s="154">
        <v>514689</v>
      </c>
      <c r="L702" s="86" t="s">
        <v>2382</v>
      </c>
      <c r="M702" s="79"/>
      <c r="N702" s="84">
        <v>3</v>
      </c>
      <c r="O702" s="95"/>
      <c r="P702" s="80"/>
      <c r="Q702" s="84"/>
      <c r="R702" s="101"/>
    </row>
    <row r="703" spans="1:18" ht="46.15" customHeight="1">
      <c r="A703" s="90" t="s">
        <v>2383</v>
      </c>
      <c r="B703" s="74" t="s">
        <v>53</v>
      </c>
      <c r="C703" s="75"/>
      <c r="D703" s="76" t="s">
        <v>39</v>
      </c>
      <c r="E703" s="77">
        <v>45265</v>
      </c>
      <c r="F703" s="77">
        <v>45356</v>
      </c>
      <c r="G703" s="74" t="s">
        <v>71</v>
      </c>
      <c r="H703" s="74" t="s">
        <v>2384</v>
      </c>
      <c r="I703" s="74"/>
      <c r="J703" s="74" t="s">
        <v>56</v>
      </c>
      <c r="K703" s="155">
        <v>514692</v>
      </c>
      <c r="L703" s="78" t="s">
        <v>2385</v>
      </c>
      <c r="M703" s="79"/>
      <c r="N703" s="76">
        <v>3</v>
      </c>
      <c r="O703" s="95"/>
      <c r="P703" s="80"/>
      <c r="Q703" s="76" t="s">
        <v>776</v>
      </c>
      <c r="R703" s="100"/>
    </row>
    <row r="704" spans="1:18" ht="61.5" customHeight="1">
      <c r="A704" s="89" t="s">
        <v>2386</v>
      </c>
      <c r="B704" s="82" t="s">
        <v>53</v>
      </c>
      <c r="C704" s="83"/>
      <c r="D704" s="84" t="s">
        <v>39</v>
      </c>
      <c r="E704" s="85">
        <v>45266</v>
      </c>
      <c r="F704" s="85">
        <v>45357</v>
      </c>
      <c r="G704" s="82" t="s">
        <v>71</v>
      </c>
      <c r="H704" s="82" t="s">
        <v>2387</v>
      </c>
      <c r="I704" s="82"/>
      <c r="J704" s="82" t="s">
        <v>399</v>
      </c>
      <c r="K704" s="154">
        <v>897094</v>
      </c>
      <c r="L704" s="86" t="s">
        <v>2388</v>
      </c>
      <c r="M704" s="79"/>
      <c r="N704" s="84">
        <v>3</v>
      </c>
      <c r="O704" s="95"/>
      <c r="P704" s="80"/>
      <c r="Q704" s="84" t="s">
        <v>776</v>
      </c>
      <c r="R704" s="101"/>
    </row>
    <row r="705" spans="1:18" ht="37.15" customHeight="1">
      <c r="A705" s="90" t="s">
        <v>2389</v>
      </c>
      <c r="B705" s="74" t="s">
        <v>53</v>
      </c>
      <c r="C705" s="75"/>
      <c r="D705" s="76" t="s">
        <v>39</v>
      </c>
      <c r="E705" s="77">
        <v>45267</v>
      </c>
      <c r="F705" s="77">
        <v>45358</v>
      </c>
      <c r="G705" s="74" t="s">
        <v>71</v>
      </c>
      <c r="H705" s="74" t="s">
        <v>2390</v>
      </c>
      <c r="I705" s="74"/>
      <c r="J705" s="74" t="s">
        <v>102</v>
      </c>
      <c r="K705" s="155">
        <v>514704</v>
      </c>
      <c r="L705" s="78" t="s">
        <v>2391</v>
      </c>
      <c r="M705" s="79"/>
      <c r="N705" s="76">
        <v>3</v>
      </c>
      <c r="O705" s="95"/>
      <c r="P705" s="80"/>
      <c r="Q705" s="76" t="s">
        <v>776</v>
      </c>
      <c r="R705" s="100"/>
    </row>
    <row r="706" spans="1:18" ht="37.15" customHeight="1">
      <c r="A706" s="89" t="s">
        <v>2392</v>
      </c>
      <c r="B706" s="82" t="s">
        <v>53</v>
      </c>
      <c r="C706" s="83"/>
      <c r="D706" s="84" t="s">
        <v>39</v>
      </c>
      <c r="E706" s="85">
        <v>45268</v>
      </c>
      <c r="F706" s="85">
        <v>45359</v>
      </c>
      <c r="G706" s="82" t="s">
        <v>71</v>
      </c>
      <c r="H706" s="82" t="s">
        <v>2393</v>
      </c>
      <c r="I706" s="82"/>
      <c r="J706" s="82" t="s">
        <v>2394</v>
      </c>
      <c r="K706" s="154">
        <v>953840</v>
      </c>
      <c r="L706" s="86" t="s">
        <v>2395</v>
      </c>
      <c r="M706" s="79"/>
      <c r="N706" s="84">
        <v>3</v>
      </c>
      <c r="O706" s="95"/>
      <c r="P706" s="80"/>
      <c r="Q706" s="84" t="s">
        <v>776</v>
      </c>
      <c r="R706" s="101"/>
    </row>
    <row r="707" spans="1:18" ht="37.15" hidden="1" customHeight="1">
      <c r="A707" s="27" t="s">
        <v>2396</v>
      </c>
      <c r="B707" s="74" t="s">
        <v>38</v>
      </c>
      <c r="C707" s="75"/>
      <c r="D707" s="76" t="s">
        <v>117</v>
      </c>
      <c r="E707" s="77">
        <v>45272</v>
      </c>
      <c r="F707" s="77">
        <v>45291</v>
      </c>
      <c r="G707" s="74" t="s">
        <v>108</v>
      </c>
      <c r="H707" s="74" t="s">
        <v>2397</v>
      </c>
      <c r="I707" s="74"/>
      <c r="J707" s="74" t="s">
        <v>201</v>
      </c>
      <c r="K707" s="155" t="s">
        <v>42</v>
      </c>
      <c r="L707" s="78" t="s">
        <v>2398</v>
      </c>
      <c r="M707" s="79"/>
      <c r="N707" s="76">
        <v>1</v>
      </c>
      <c r="O707" s="95"/>
      <c r="P707" s="80"/>
      <c r="Q707" s="76" t="s">
        <v>776</v>
      </c>
      <c r="R707" s="100" t="s">
        <v>2399</v>
      </c>
    </row>
    <row r="708" spans="1:18" ht="37.15" customHeight="1">
      <c r="A708" s="89" t="s">
        <v>2400</v>
      </c>
      <c r="B708" s="82" t="s">
        <v>53</v>
      </c>
      <c r="C708" s="83"/>
      <c r="D708" s="84" t="s">
        <v>117</v>
      </c>
      <c r="E708" s="85">
        <v>45272</v>
      </c>
      <c r="F708" s="85">
        <v>45363</v>
      </c>
      <c r="G708" s="82" t="s">
        <v>71</v>
      </c>
      <c r="H708" s="82" t="s">
        <v>2401</v>
      </c>
      <c r="I708" s="82"/>
      <c r="J708" s="82" t="s">
        <v>2402</v>
      </c>
      <c r="K708" s="154" t="s">
        <v>42</v>
      </c>
      <c r="L708" s="86" t="s">
        <v>2403</v>
      </c>
      <c r="M708" s="79"/>
      <c r="N708" s="84">
        <v>3</v>
      </c>
      <c r="O708" s="95"/>
      <c r="P708" s="80"/>
      <c r="Q708" s="84"/>
      <c r="R708" s="101"/>
    </row>
    <row r="709" spans="1:18" ht="37.15" hidden="1" customHeight="1">
      <c r="A709" s="90" t="s">
        <v>2404</v>
      </c>
      <c r="B709" s="74" t="s">
        <v>38</v>
      </c>
      <c r="C709" s="75"/>
      <c r="D709" s="76" t="s">
        <v>39</v>
      </c>
      <c r="E709" s="77">
        <v>45274</v>
      </c>
      <c r="F709" s="77">
        <v>45303</v>
      </c>
      <c r="G709" s="74" t="s">
        <v>108</v>
      </c>
      <c r="H709" s="74" t="s">
        <v>2405</v>
      </c>
      <c r="I709" s="74"/>
      <c r="J709" s="74" t="s">
        <v>2406</v>
      </c>
      <c r="K709" s="155" t="s">
        <v>42</v>
      </c>
      <c r="L709" s="78" t="s">
        <v>2407</v>
      </c>
      <c r="M709" s="79"/>
      <c r="N709" s="76">
        <v>3</v>
      </c>
      <c r="O709" s="95"/>
      <c r="P709" s="80"/>
      <c r="Q709" s="76" t="s">
        <v>776</v>
      </c>
      <c r="R709" s="100">
        <v>45275</v>
      </c>
    </row>
    <row r="710" spans="1:18" ht="37.15" hidden="1" customHeight="1">
      <c r="A710" s="89" t="s">
        <v>2408</v>
      </c>
      <c r="B710" s="82" t="s">
        <v>38</v>
      </c>
      <c r="C710" s="83"/>
      <c r="D710" s="84" t="s">
        <v>39</v>
      </c>
      <c r="E710" s="85">
        <v>45274</v>
      </c>
      <c r="F710" s="85">
        <v>45305</v>
      </c>
      <c r="G710" s="82" t="s">
        <v>108</v>
      </c>
      <c r="H710" s="82" t="s">
        <v>2409</v>
      </c>
      <c r="I710" s="82"/>
      <c r="J710" s="82" t="s">
        <v>56</v>
      </c>
      <c r="K710" s="154" t="s">
        <v>42</v>
      </c>
      <c r="L710" s="86" t="s">
        <v>2410</v>
      </c>
      <c r="M710" s="79"/>
      <c r="N710" s="84">
        <v>3</v>
      </c>
      <c r="O710" s="95"/>
      <c r="P710" s="80"/>
      <c r="Q710" s="84" t="s">
        <v>776</v>
      </c>
      <c r="R710" s="101">
        <v>45275</v>
      </c>
    </row>
    <row r="711" spans="1:18" ht="37.15" customHeight="1">
      <c r="A711" s="90" t="s">
        <v>2411</v>
      </c>
      <c r="B711" s="74" t="s">
        <v>53</v>
      </c>
      <c r="C711" s="75"/>
      <c r="D711" s="76" t="s">
        <v>39</v>
      </c>
      <c r="E711" s="77">
        <v>45275</v>
      </c>
      <c r="F711" s="77">
        <v>45366</v>
      </c>
      <c r="G711" s="74" t="s">
        <v>71</v>
      </c>
      <c r="H711" s="74" t="s">
        <v>2412</v>
      </c>
      <c r="I711" s="74"/>
      <c r="J711" s="74" t="s">
        <v>56</v>
      </c>
      <c r="K711" s="155">
        <v>514743</v>
      </c>
      <c r="L711" s="78" t="s">
        <v>2413</v>
      </c>
      <c r="M711" s="79"/>
      <c r="N711" s="76">
        <v>3</v>
      </c>
      <c r="O711" s="95"/>
      <c r="P711" s="80"/>
      <c r="Q711" s="76"/>
      <c r="R711" s="100"/>
    </row>
    <row r="712" spans="1:18" ht="37.15" customHeight="1">
      <c r="A712" s="89" t="s">
        <v>2414</v>
      </c>
      <c r="B712" s="82" t="s">
        <v>53</v>
      </c>
      <c r="C712" s="83"/>
      <c r="D712" s="84" t="s">
        <v>39</v>
      </c>
      <c r="E712" s="85">
        <v>45282</v>
      </c>
      <c r="F712" s="85">
        <v>45373</v>
      </c>
      <c r="G712" s="82" t="s">
        <v>71</v>
      </c>
      <c r="H712" s="82" t="s">
        <v>2415</v>
      </c>
      <c r="I712" s="82"/>
      <c r="J712" s="82" t="s">
        <v>2416</v>
      </c>
      <c r="K712" s="154">
        <v>514813</v>
      </c>
      <c r="L712" s="86" t="s">
        <v>2417</v>
      </c>
      <c r="M712" s="79"/>
      <c r="N712" s="84">
        <v>3</v>
      </c>
      <c r="O712" s="95"/>
      <c r="P712" s="80"/>
      <c r="Q712" s="84" t="s">
        <v>776</v>
      </c>
      <c r="R712" s="101"/>
    </row>
    <row r="713" spans="1:18" ht="37.15" customHeight="1">
      <c r="A713" s="90" t="s">
        <v>2418</v>
      </c>
      <c r="B713" s="74" t="s">
        <v>53</v>
      </c>
      <c r="C713" s="75"/>
      <c r="D713" s="76" t="s">
        <v>39</v>
      </c>
      <c r="E713" s="77">
        <v>45282</v>
      </c>
      <c r="F713" s="77">
        <v>45373</v>
      </c>
      <c r="G713" s="74" t="s">
        <v>71</v>
      </c>
      <c r="H713" s="92" t="s">
        <v>2100</v>
      </c>
      <c r="I713" s="92"/>
      <c r="J713" s="74" t="s">
        <v>56</v>
      </c>
      <c r="K713" s="155" t="s">
        <v>42</v>
      </c>
      <c r="L713" s="78" t="s">
        <v>2419</v>
      </c>
      <c r="M713" s="79"/>
      <c r="N713" s="76">
        <v>3</v>
      </c>
      <c r="O713" s="95"/>
      <c r="P713" s="80"/>
      <c r="Q713" s="76"/>
      <c r="R713" s="100"/>
    </row>
    <row r="714" spans="1:18" ht="37.15" hidden="1" customHeight="1">
      <c r="A714" s="89" t="s">
        <v>2420</v>
      </c>
      <c r="B714" s="82" t="s">
        <v>38</v>
      </c>
      <c r="C714" s="83"/>
      <c r="D714" s="84" t="s">
        <v>117</v>
      </c>
      <c r="E714" s="85">
        <v>45295</v>
      </c>
      <c r="F714" s="85">
        <v>45326</v>
      </c>
      <c r="G714" s="82" t="s">
        <v>108</v>
      </c>
      <c r="H714" s="82" t="s">
        <v>2421</v>
      </c>
      <c r="I714" s="82"/>
      <c r="J714" s="82" t="s">
        <v>56</v>
      </c>
      <c r="K714" s="154" t="s">
        <v>42</v>
      </c>
      <c r="L714" s="86" t="s">
        <v>2422</v>
      </c>
      <c r="M714" s="79"/>
      <c r="N714" s="84">
        <v>3</v>
      </c>
      <c r="O714" s="95"/>
      <c r="P714" s="80"/>
      <c r="Q714" s="84" t="s">
        <v>776</v>
      </c>
      <c r="R714" s="101" t="s">
        <v>2310</v>
      </c>
    </row>
    <row r="715" spans="1:18" ht="37.15" customHeight="1">
      <c r="A715" s="90" t="s">
        <v>2423</v>
      </c>
      <c r="B715" s="74" t="s">
        <v>53</v>
      </c>
      <c r="C715" s="75"/>
      <c r="D715" s="76" t="s">
        <v>39</v>
      </c>
      <c r="E715" s="77">
        <v>45299</v>
      </c>
      <c r="F715" s="77">
        <v>45390</v>
      </c>
      <c r="G715" s="74" t="s">
        <v>71</v>
      </c>
      <c r="H715" s="92" t="s">
        <v>2424</v>
      </c>
      <c r="I715" s="92"/>
      <c r="J715" s="74" t="s">
        <v>56</v>
      </c>
      <c r="K715" s="155">
        <v>953869</v>
      </c>
      <c r="L715" s="78" t="s">
        <v>2425</v>
      </c>
      <c r="M715" s="79"/>
      <c r="N715" s="76">
        <v>3</v>
      </c>
      <c r="O715" s="95"/>
      <c r="P715" s="80"/>
      <c r="Q715" s="76" t="s">
        <v>776</v>
      </c>
      <c r="R715" s="100"/>
    </row>
    <row r="716" spans="1:18" ht="37.15" customHeight="1">
      <c r="A716" s="89" t="s">
        <v>2426</v>
      </c>
      <c r="B716" s="82" t="s">
        <v>53</v>
      </c>
      <c r="C716" s="83"/>
      <c r="D716" s="84" t="s">
        <v>39</v>
      </c>
      <c r="E716" s="85">
        <v>45300</v>
      </c>
      <c r="F716" s="85">
        <v>45391</v>
      </c>
      <c r="G716" s="82" t="s">
        <v>71</v>
      </c>
      <c r="H716" s="82" t="s">
        <v>993</v>
      </c>
      <c r="I716" s="82"/>
      <c r="J716" s="82" t="s">
        <v>56</v>
      </c>
      <c r="K716" s="154" t="s">
        <v>42</v>
      </c>
      <c r="L716" s="86" t="s">
        <v>2427</v>
      </c>
      <c r="M716" s="79"/>
      <c r="N716" s="84">
        <v>3</v>
      </c>
      <c r="O716" s="95"/>
      <c r="P716" s="80"/>
      <c r="Q716" s="84" t="s">
        <v>776</v>
      </c>
      <c r="R716" s="101"/>
    </row>
    <row r="717" spans="1:18" ht="37.15" customHeight="1">
      <c r="A717" s="90" t="s">
        <v>2428</v>
      </c>
      <c r="B717" s="74" t="s">
        <v>53</v>
      </c>
      <c r="C717" s="75"/>
      <c r="D717" s="76" t="s">
        <v>39</v>
      </c>
      <c r="E717" s="77">
        <v>45301</v>
      </c>
      <c r="F717" s="77">
        <v>45332</v>
      </c>
      <c r="G717" s="74" t="s">
        <v>71</v>
      </c>
      <c r="H717" s="74" t="s">
        <v>2295</v>
      </c>
      <c r="I717" s="74"/>
      <c r="J717" s="74" t="s">
        <v>56</v>
      </c>
      <c r="K717" s="155">
        <v>514857</v>
      </c>
      <c r="L717" s="78" t="s">
        <v>2429</v>
      </c>
      <c r="M717" s="79"/>
      <c r="N717" s="76">
        <v>3</v>
      </c>
      <c r="O717" s="95"/>
      <c r="P717" s="80"/>
      <c r="Q717" s="76"/>
      <c r="R717" s="100"/>
    </row>
    <row r="718" spans="1:18" ht="37.15" customHeight="1">
      <c r="A718" s="89" t="s">
        <v>2430</v>
      </c>
      <c r="B718" s="82" t="s">
        <v>53</v>
      </c>
      <c r="C718" s="83"/>
      <c r="D718" s="84" t="s">
        <v>39</v>
      </c>
      <c r="E718" s="85">
        <v>45303</v>
      </c>
      <c r="F718" s="85">
        <v>45394</v>
      </c>
      <c r="G718" s="82" t="s">
        <v>71</v>
      </c>
      <c r="H718" s="91" t="s">
        <v>2431</v>
      </c>
      <c r="I718" s="91"/>
      <c r="J718" s="82" t="s">
        <v>56</v>
      </c>
      <c r="K718" s="154">
        <v>953878</v>
      </c>
      <c r="L718" s="86" t="s">
        <v>2432</v>
      </c>
      <c r="M718" s="79"/>
      <c r="N718" s="84">
        <v>3</v>
      </c>
      <c r="O718" s="95"/>
      <c r="P718" s="80"/>
      <c r="Q718" s="84" t="s">
        <v>776</v>
      </c>
      <c r="R718" s="101"/>
    </row>
    <row r="719" spans="1:18" ht="37.15" customHeight="1">
      <c r="A719" s="90" t="s">
        <v>2433</v>
      </c>
      <c r="B719" s="74" t="s">
        <v>53</v>
      </c>
      <c r="C719" s="75"/>
      <c r="D719" s="76" t="s">
        <v>39</v>
      </c>
      <c r="E719" s="77">
        <v>45303</v>
      </c>
      <c r="F719" s="77">
        <v>45394</v>
      </c>
      <c r="G719" s="74" t="s">
        <v>71</v>
      </c>
      <c r="H719" s="92" t="s">
        <v>2434</v>
      </c>
      <c r="I719" s="92"/>
      <c r="J719" s="74" t="s">
        <v>102</v>
      </c>
      <c r="K719" s="155">
        <v>953879</v>
      </c>
      <c r="L719" s="78" t="s">
        <v>2435</v>
      </c>
      <c r="M719" s="79"/>
      <c r="N719" s="76">
        <v>3</v>
      </c>
      <c r="O719" s="95"/>
      <c r="P719" s="80"/>
      <c r="Q719" s="76" t="s">
        <v>776</v>
      </c>
      <c r="R719" s="100">
        <v>45383</v>
      </c>
    </row>
    <row r="720" spans="1:18" ht="37.15" customHeight="1">
      <c r="A720" s="89" t="s">
        <v>2436</v>
      </c>
      <c r="B720" s="82" t="s">
        <v>53</v>
      </c>
      <c r="C720" s="83"/>
      <c r="D720" s="84" t="s">
        <v>39</v>
      </c>
      <c r="E720" s="85">
        <v>45306</v>
      </c>
      <c r="F720" s="85">
        <v>45366</v>
      </c>
      <c r="G720" s="82" t="s">
        <v>71</v>
      </c>
      <c r="H720" s="82" t="s">
        <v>2437</v>
      </c>
      <c r="I720" s="82"/>
      <c r="J720" s="82" t="s">
        <v>56</v>
      </c>
      <c r="K720" s="154">
        <v>514898</v>
      </c>
      <c r="L720" s="86" t="s">
        <v>2438</v>
      </c>
      <c r="M720" s="79"/>
      <c r="N720" s="84">
        <v>3</v>
      </c>
      <c r="O720" s="95"/>
      <c r="P720" s="80"/>
      <c r="Q720" s="84"/>
      <c r="R720" s="101"/>
    </row>
    <row r="721" spans="1:19" ht="37.15" customHeight="1">
      <c r="A721" s="90" t="s">
        <v>2439</v>
      </c>
      <c r="B721" s="74" t="s">
        <v>53</v>
      </c>
      <c r="C721" s="75"/>
      <c r="D721" s="76" t="s">
        <v>39</v>
      </c>
      <c r="E721" s="77">
        <v>45306</v>
      </c>
      <c r="F721" s="77">
        <v>45397</v>
      </c>
      <c r="G721" s="74" t="s">
        <v>71</v>
      </c>
      <c r="H721" s="92" t="s">
        <v>2440</v>
      </c>
      <c r="I721" s="92"/>
      <c r="J721" s="74" t="s">
        <v>2441</v>
      </c>
      <c r="K721" s="155">
        <v>953884</v>
      </c>
      <c r="L721" s="78" t="s">
        <v>2442</v>
      </c>
      <c r="M721" s="79"/>
      <c r="N721" s="76">
        <v>3</v>
      </c>
      <c r="O721" s="95"/>
      <c r="P721" s="80"/>
      <c r="Q721" s="76" t="s">
        <v>776</v>
      </c>
      <c r="R721" s="100">
        <v>45383</v>
      </c>
    </row>
    <row r="722" spans="1:19" ht="37.15" customHeight="1">
      <c r="A722" s="89" t="s">
        <v>2443</v>
      </c>
      <c r="B722" s="82" t="s">
        <v>53</v>
      </c>
      <c r="C722" s="83"/>
      <c r="D722" s="84" t="s">
        <v>39</v>
      </c>
      <c r="E722" s="85">
        <v>45307</v>
      </c>
      <c r="F722" s="85">
        <v>45428</v>
      </c>
      <c r="G722" s="82" t="s">
        <v>71</v>
      </c>
      <c r="H722" s="82" t="s">
        <v>2444</v>
      </c>
      <c r="I722" s="82"/>
      <c r="J722" s="82" t="s">
        <v>56</v>
      </c>
      <c r="K722" s="154"/>
      <c r="L722" s="86" t="s">
        <v>2445</v>
      </c>
      <c r="M722" s="79"/>
      <c r="N722" s="84">
        <v>3</v>
      </c>
      <c r="O722" s="95"/>
      <c r="P722" s="80"/>
      <c r="Q722" s="84" t="s">
        <v>776</v>
      </c>
      <c r="R722" s="101"/>
    </row>
    <row r="723" spans="1:19" ht="37.15" hidden="1" customHeight="1">
      <c r="A723" s="90" t="s">
        <v>2446</v>
      </c>
      <c r="B723" s="74" t="s">
        <v>47</v>
      </c>
      <c r="C723" s="75"/>
      <c r="D723" s="76" t="s">
        <v>39</v>
      </c>
      <c r="E723" s="77">
        <v>45308</v>
      </c>
      <c r="F723" s="77">
        <v>45339</v>
      </c>
      <c r="G723" s="74" t="s">
        <v>71</v>
      </c>
      <c r="H723" s="74" t="s">
        <v>2447</v>
      </c>
      <c r="I723" s="74" t="s">
        <v>2448</v>
      </c>
      <c r="J723" s="74" t="s">
        <v>2449</v>
      </c>
      <c r="K723" s="155" t="s">
        <v>2450</v>
      </c>
      <c r="L723" s="78" t="s">
        <v>2451</v>
      </c>
      <c r="M723" s="79"/>
      <c r="N723" s="76">
        <v>3</v>
      </c>
      <c r="O723" s="95"/>
      <c r="P723" s="80"/>
      <c r="Q723" s="76" t="s">
        <v>776</v>
      </c>
      <c r="R723" s="100">
        <v>45314</v>
      </c>
    </row>
    <row r="724" spans="1:19" ht="37.15" hidden="1" customHeight="1">
      <c r="A724" s="89" t="s">
        <v>2452</v>
      </c>
      <c r="B724" s="82" t="s">
        <v>38</v>
      </c>
      <c r="C724" s="83"/>
      <c r="D724" s="84" t="s">
        <v>39</v>
      </c>
      <c r="E724" s="85">
        <v>45308</v>
      </c>
      <c r="F724" s="85">
        <v>45339</v>
      </c>
      <c r="G724" s="82" t="s">
        <v>71</v>
      </c>
      <c r="H724" s="82" t="s">
        <v>2453</v>
      </c>
      <c r="I724" s="82"/>
      <c r="J724" s="82" t="s">
        <v>2157</v>
      </c>
      <c r="K724" s="154" t="s">
        <v>2454</v>
      </c>
      <c r="L724" s="86" t="s">
        <v>2455</v>
      </c>
      <c r="M724" s="79"/>
      <c r="N724" s="84">
        <v>3</v>
      </c>
      <c r="O724" s="95"/>
      <c r="P724" s="80"/>
      <c r="Q724" s="84" t="s">
        <v>776</v>
      </c>
      <c r="R724" s="101">
        <v>45370</v>
      </c>
    </row>
    <row r="725" spans="1:19" ht="37.15" hidden="1" customHeight="1">
      <c r="A725" s="90" t="s">
        <v>2456</v>
      </c>
      <c r="B725" s="74" t="s">
        <v>38</v>
      </c>
      <c r="C725" s="75"/>
      <c r="D725" s="76" t="s">
        <v>39</v>
      </c>
      <c r="E725" s="77">
        <v>45308</v>
      </c>
      <c r="F725" s="77">
        <v>45339</v>
      </c>
      <c r="G725" s="74" t="s">
        <v>108</v>
      </c>
      <c r="H725" s="74" t="s">
        <v>2457</v>
      </c>
      <c r="I725" s="74"/>
      <c r="J725" s="74" t="s">
        <v>56</v>
      </c>
      <c r="K725" s="155" t="s">
        <v>2458</v>
      </c>
      <c r="L725" s="78" t="s">
        <v>2459</v>
      </c>
      <c r="M725" s="79"/>
      <c r="N725" s="76">
        <v>3</v>
      </c>
      <c r="O725" s="95"/>
      <c r="P725" s="80"/>
      <c r="Q725" s="76" t="s">
        <v>776</v>
      </c>
      <c r="R725" s="100">
        <v>45400</v>
      </c>
      <c r="S725" s="123"/>
    </row>
    <row r="726" spans="1:19" ht="37.15" hidden="1" customHeight="1">
      <c r="A726" s="89" t="s">
        <v>2460</v>
      </c>
      <c r="B726" s="82" t="s">
        <v>38</v>
      </c>
      <c r="C726" s="83"/>
      <c r="D726" s="84" t="s">
        <v>39</v>
      </c>
      <c r="E726" s="85"/>
      <c r="F726" s="85">
        <v>45339</v>
      </c>
      <c r="G726" s="82" t="s">
        <v>108</v>
      </c>
      <c r="H726" s="82" t="s">
        <v>2409</v>
      </c>
      <c r="I726" s="82"/>
      <c r="J726" s="82"/>
      <c r="K726" s="154"/>
      <c r="L726" s="86" t="s">
        <v>2461</v>
      </c>
      <c r="M726" s="79"/>
      <c r="N726" s="84"/>
      <c r="O726" s="95"/>
      <c r="P726" s="80"/>
      <c r="Q726" s="84" t="s">
        <v>776</v>
      </c>
      <c r="R726" s="101" t="s">
        <v>2462</v>
      </c>
    </row>
    <row r="727" spans="1:19" ht="37.15" hidden="1" customHeight="1">
      <c r="A727" s="90" t="s">
        <v>2463</v>
      </c>
      <c r="B727" s="74" t="s">
        <v>38</v>
      </c>
      <c r="C727" s="75"/>
      <c r="D727" s="76" t="s">
        <v>39</v>
      </c>
      <c r="E727" s="77"/>
      <c r="F727" s="77">
        <v>45339</v>
      </c>
      <c r="G727" s="74" t="s">
        <v>108</v>
      </c>
      <c r="H727" s="74" t="s">
        <v>2409</v>
      </c>
      <c r="I727" s="74"/>
      <c r="J727" s="74"/>
      <c r="K727" s="155"/>
      <c r="L727" s="78" t="s">
        <v>2464</v>
      </c>
      <c r="M727" s="79"/>
      <c r="N727" s="76"/>
      <c r="O727" s="95"/>
      <c r="P727" s="80"/>
      <c r="Q727" s="76" t="s">
        <v>776</v>
      </c>
      <c r="R727" s="100" t="s">
        <v>2462</v>
      </c>
    </row>
    <row r="728" spans="1:19" ht="60">
      <c r="A728" s="89" t="s">
        <v>2465</v>
      </c>
      <c r="B728" s="82" t="s">
        <v>53</v>
      </c>
      <c r="C728" s="83"/>
      <c r="D728" s="84" t="s">
        <v>39</v>
      </c>
      <c r="E728" s="85">
        <v>45309</v>
      </c>
      <c r="F728" s="85">
        <v>45400</v>
      </c>
      <c r="G728" s="82" t="s">
        <v>71</v>
      </c>
      <c r="H728" s="82" t="s">
        <v>2466</v>
      </c>
      <c r="I728" s="82"/>
      <c r="J728" s="82" t="s">
        <v>102</v>
      </c>
      <c r="K728" s="154">
        <v>514917</v>
      </c>
      <c r="L728" s="86" t="s">
        <v>2467</v>
      </c>
      <c r="M728" s="79"/>
      <c r="N728" s="84">
        <v>3</v>
      </c>
      <c r="O728" s="95"/>
      <c r="P728" s="80"/>
      <c r="Q728" s="84" t="s">
        <v>776</v>
      </c>
      <c r="R728" s="101"/>
    </row>
    <row r="729" spans="1:19" ht="37.15" customHeight="1">
      <c r="A729" s="90" t="s">
        <v>2468</v>
      </c>
      <c r="B729" s="74" t="s">
        <v>53</v>
      </c>
      <c r="C729" s="75"/>
      <c r="D729" s="76" t="s">
        <v>39</v>
      </c>
      <c r="E729" s="77">
        <v>45309</v>
      </c>
      <c r="F729" s="77">
        <v>45400</v>
      </c>
      <c r="G729" s="74" t="s">
        <v>71</v>
      </c>
      <c r="H729" s="92" t="s">
        <v>2469</v>
      </c>
      <c r="I729" s="92"/>
      <c r="J729" s="74" t="s">
        <v>56</v>
      </c>
      <c r="K729" s="155">
        <v>953889</v>
      </c>
      <c r="L729" s="78" t="s">
        <v>2470</v>
      </c>
      <c r="M729" s="79"/>
      <c r="N729" s="76">
        <v>3</v>
      </c>
      <c r="O729" s="95"/>
      <c r="P729" s="80"/>
      <c r="Q729" s="76"/>
      <c r="R729" s="100"/>
    </row>
    <row r="730" spans="1:19" ht="37.15" customHeight="1">
      <c r="A730" s="89" t="s">
        <v>2471</v>
      </c>
      <c r="B730" s="82" t="s">
        <v>53</v>
      </c>
      <c r="C730" s="83"/>
      <c r="D730" s="84" t="s">
        <v>39</v>
      </c>
      <c r="E730" s="85">
        <v>45309</v>
      </c>
      <c r="F730" s="85">
        <v>45400</v>
      </c>
      <c r="G730" s="82" t="s">
        <v>71</v>
      </c>
      <c r="H730" s="82" t="s">
        <v>2472</v>
      </c>
      <c r="I730" s="82"/>
      <c r="J730" s="82" t="s">
        <v>102</v>
      </c>
      <c r="K730" s="154">
        <v>953890</v>
      </c>
      <c r="L730" s="86" t="s">
        <v>2473</v>
      </c>
      <c r="M730" s="79"/>
      <c r="N730" s="84">
        <v>3</v>
      </c>
      <c r="O730" s="95"/>
      <c r="P730" s="80"/>
      <c r="Q730" s="84" t="s">
        <v>776</v>
      </c>
      <c r="R730" s="101">
        <v>45383</v>
      </c>
    </row>
    <row r="731" spans="1:19" ht="37.15" hidden="1" customHeight="1">
      <c r="A731" s="27" t="s">
        <v>2474</v>
      </c>
      <c r="B731" s="74" t="s">
        <v>38</v>
      </c>
      <c r="C731" s="75"/>
      <c r="D731" s="76" t="s">
        <v>117</v>
      </c>
      <c r="E731" s="77">
        <v>45314</v>
      </c>
      <c r="F731" s="77">
        <v>45345</v>
      </c>
      <c r="G731" s="74" t="s">
        <v>108</v>
      </c>
      <c r="H731" s="74">
        <v>10608638</v>
      </c>
      <c r="I731" s="74"/>
      <c r="J731" s="74" t="s">
        <v>56</v>
      </c>
      <c r="K731" s="155" t="s">
        <v>2475</v>
      </c>
      <c r="L731" s="78" t="s">
        <v>2476</v>
      </c>
      <c r="M731" s="79"/>
      <c r="N731" s="76">
        <v>3</v>
      </c>
      <c r="O731" s="95"/>
      <c r="P731" s="80"/>
      <c r="Q731" s="76" t="s">
        <v>776</v>
      </c>
      <c r="R731" s="100" t="s">
        <v>2310</v>
      </c>
    </row>
    <row r="732" spans="1:19" ht="37.15" hidden="1" customHeight="1">
      <c r="A732" s="89" t="s">
        <v>2477</v>
      </c>
      <c r="B732" s="82" t="s">
        <v>47</v>
      </c>
      <c r="C732" s="83"/>
      <c r="D732" s="84" t="s">
        <v>39</v>
      </c>
      <c r="E732" s="85">
        <v>45314</v>
      </c>
      <c r="F732" s="85">
        <v>45345</v>
      </c>
      <c r="G732" s="82" t="s">
        <v>71</v>
      </c>
      <c r="H732" s="82" t="s">
        <v>1859</v>
      </c>
      <c r="I732" s="82" t="s">
        <v>2220</v>
      </c>
      <c r="J732" s="82" t="s">
        <v>56</v>
      </c>
      <c r="K732" s="154" t="s">
        <v>2478</v>
      </c>
      <c r="L732" s="86" t="s">
        <v>2479</v>
      </c>
      <c r="M732" s="79"/>
      <c r="N732" s="84">
        <v>3</v>
      </c>
      <c r="O732" s="95"/>
      <c r="P732" s="80"/>
      <c r="Q732" s="84" t="s">
        <v>776</v>
      </c>
      <c r="R732" s="101">
        <v>45320</v>
      </c>
    </row>
    <row r="733" spans="1:19" ht="45">
      <c r="A733" s="90" t="s">
        <v>2480</v>
      </c>
      <c r="B733" s="74" t="s">
        <v>53</v>
      </c>
      <c r="C733" s="75"/>
      <c r="D733" s="76" t="s">
        <v>39</v>
      </c>
      <c r="E733" s="77">
        <v>45315</v>
      </c>
      <c r="F733" s="77">
        <v>45346</v>
      </c>
      <c r="G733" s="74" t="s">
        <v>71</v>
      </c>
      <c r="H733" s="76" t="s">
        <v>2481</v>
      </c>
      <c r="I733" s="76"/>
      <c r="J733" s="74" t="s">
        <v>253</v>
      </c>
      <c r="K733" s="155" t="s">
        <v>2482</v>
      </c>
      <c r="L733" s="78" t="s">
        <v>2483</v>
      </c>
      <c r="M733" s="79"/>
      <c r="N733" s="76">
        <v>3</v>
      </c>
      <c r="O733" s="95"/>
      <c r="P733" s="80"/>
      <c r="Q733" s="76"/>
      <c r="R733" s="100"/>
    </row>
    <row r="734" spans="1:19" ht="77.25" customHeight="1">
      <c r="A734" s="89" t="s">
        <v>2484</v>
      </c>
      <c r="B734" s="82" t="s">
        <v>53</v>
      </c>
      <c r="C734" s="83"/>
      <c r="D734" s="84" t="s">
        <v>39</v>
      </c>
      <c r="E734" s="85">
        <v>45316</v>
      </c>
      <c r="F734" s="85">
        <v>45347</v>
      </c>
      <c r="G734" s="82" t="s">
        <v>71</v>
      </c>
      <c r="H734" s="91" t="s">
        <v>2485</v>
      </c>
      <c r="I734" s="91"/>
      <c r="J734" s="82" t="s">
        <v>253</v>
      </c>
      <c r="K734" s="154">
        <v>897257</v>
      </c>
      <c r="L734" s="86" t="s">
        <v>2486</v>
      </c>
      <c r="M734" s="79"/>
      <c r="N734" s="84">
        <v>3</v>
      </c>
      <c r="O734" s="95"/>
      <c r="P734" s="80"/>
      <c r="Q734" s="84"/>
      <c r="R734" s="101"/>
    </row>
    <row r="735" spans="1:19" ht="46.5" customHeight="1">
      <c r="A735" s="90" t="s">
        <v>2487</v>
      </c>
      <c r="B735" s="74" t="s">
        <v>53</v>
      </c>
      <c r="C735" s="75"/>
      <c r="D735" s="76" t="s">
        <v>39</v>
      </c>
      <c r="E735" s="77">
        <v>45319</v>
      </c>
      <c r="F735" s="77">
        <v>45350</v>
      </c>
      <c r="G735" s="74" t="s">
        <v>71</v>
      </c>
      <c r="H735" s="74" t="s">
        <v>2488</v>
      </c>
      <c r="I735" s="74"/>
      <c r="J735" s="74" t="s">
        <v>56</v>
      </c>
      <c r="K735" s="155">
        <v>953902</v>
      </c>
      <c r="L735" s="78" t="s">
        <v>2489</v>
      </c>
      <c r="M735" s="79"/>
      <c r="N735" s="76">
        <v>3</v>
      </c>
      <c r="O735" s="95"/>
      <c r="P735" s="80"/>
      <c r="Q735" s="76"/>
      <c r="R735" s="100"/>
    </row>
    <row r="736" spans="1:19" ht="37.15" hidden="1" customHeight="1">
      <c r="A736" s="89" t="s">
        <v>2490</v>
      </c>
      <c r="B736" s="82" t="s">
        <v>38</v>
      </c>
      <c r="C736" s="83"/>
      <c r="D736" s="84" t="s">
        <v>39</v>
      </c>
      <c r="E736" s="85">
        <v>45320</v>
      </c>
      <c r="F736" s="85">
        <v>45352</v>
      </c>
      <c r="G736" s="82" t="s">
        <v>108</v>
      </c>
      <c r="H736" s="82" t="s">
        <v>2409</v>
      </c>
      <c r="I736" s="82"/>
      <c r="J736" s="82" t="s">
        <v>56</v>
      </c>
      <c r="K736" s="154" t="s">
        <v>2491</v>
      </c>
      <c r="L736" s="86" t="s">
        <v>2225</v>
      </c>
      <c r="M736" s="79"/>
      <c r="N736" s="84">
        <v>3</v>
      </c>
      <c r="O736" s="95"/>
      <c r="P736" s="80"/>
      <c r="Q736" s="84" t="s">
        <v>776</v>
      </c>
      <c r="R736" s="101">
        <v>45400</v>
      </c>
      <c r="S736" s="123"/>
    </row>
    <row r="737" spans="1:19" ht="37.15" customHeight="1">
      <c r="A737" s="90" t="s">
        <v>2492</v>
      </c>
      <c r="B737" s="74" t="s">
        <v>53</v>
      </c>
      <c r="C737" s="75"/>
      <c r="D737" s="76" t="s">
        <v>39</v>
      </c>
      <c r="E737" s="77">
        <v>45322</v>
      </c>
      <c r="F737" s="77">
        <v>45412</v>
      </c>
      <c r="G737" s="74" t="s">
        <v>71</v>
      </c>
      <c r="H737" s="74" t="s">
        <v>2493</v>
      </c>
      <c r="I737" s="74"/>
      <c r="J737" s="74" t="s">
        <v>56</v>
      </c>
      <c r="K737" s="155">
        <v>514930</v>
      </c>
      <c r="L737" s="78" t="s">
        <v>2494</v>
      </c>
      <c r="M737" s="79"/>
      <c r="N737" s="76">
        <v>3</v>
      </c>
      <c r="O737" s="95"/>
      <c r="P737" s="80"/>
      <c r="Q737" s="76"/>
      <c r="R737" s="100"/>
    </row>
    <row r="738" spans="1:19" ht="37.15" hidden="1" customHeight="1">
      <c r="A738" s="89" t="s">
        <v>2495</v>
      </c>
      <c r="B738" s="82" t="s">
        <v>38</v>
      </c>
      <c r="C738" s="83"/>
      <c r="D738" s="84" t="s">
        <v>39</v>
      </c>
      <c r="E738" s="85">
        <v>45323</v>
      </c>
      <c r="F738" s="85">
        <v>45352</v>
      </c>
      <c r="G738" s="82" t="s">
        <v>108</v>
      </c>
      <c r="H738" s="82" t="s">
        <v>2409</v>
      </c>
      <c r="I738" s="82"/>
      <c r="J738" s="82" t="s">
        <v>2496</v>
      </c>
      <c r="K738" s="154" t="s">
        <v>386</v>
      </c>
      <c r="L738" s="86" t="s">
        <v>2497</v>
      </c>
      <c r="M738" s="79"/>
      <c r="N738" s="84">
        <v>3</v>
      </c>
      <c r="O738" s="95"/>
      <c r="P738" s="80"/>
      <c r="Q738" s="84" t="s">
        <v>776</v>
      </c>
      <c r="R738" s="101">
        <v>45400</v>
      </c>
      <c r="S738" s="123"/>
    </row>
    <row r="739" spans="1:19" ht="37.15" customHeight="1">
      <c r="A739" s="90" t="s">
        <v>2498</v>
      </c>
      <c r="B739" s="74" t="s">
        <v>53</v>
      </c>
      <c r="C739" s="75"/>
      <c r="D739" s="76" t="s">
        <v>39</v>
      </c>
      <c r="E739" s="77">
        <v>45323</v>
      </c>
      <c r="F739" s="77">
        <v>45352</v>
      </c>
      <c r="G739" s="74" t="s">
        <v>71</v>
      </c>
      <c r="H739" s="74" t="s">
        <v>2499</v>
      </c>
      <c r="I739" s="74"/>
      <c r="J739" s="74" t="s">
        <v>56</v>
      </c>
      <c r="K739" s="155">
        <v>953908</v>
      </c>
      <c r="L739" s="78" t="s">
        <v>2500</v>
      </c>
      <c r="M739" s="79"/>
      <c r="N739" s="76">
        <v>3</v>
      </c>
      <c r="O739" s="95"/>
      <c r="P739" s="80"/>
      <c r="Q739" s="76"/>
      <c r="R739" s="100"/>
    </row>
    <row r="740" spans="1:19" ht="37.15" customHeight="1">
      <c r="A740" s="89" t="s">
        <v>2501</v>
      </c>
      <c r="B740" s="82" t="s">
        <v>53</v>
      </c>
      <c r="C740" s="83"/>
      <c r="D740" s="84" t="s">
        <v>39</v>
      </c>
      <c r="E740" s="85">
        <v>45323</v>
      </c>
      <c r="F740" s="85">
        <v>45352</v>
      </c>
      <c r="G740" s="82" t="s">
        <v>71</v>
      </c>
      <c r="H740" s="82" t="s">
        <v>2502</v>
      </c>
      <c r="I740" s="82"/>
      <c r="J740" s="82" t="s">
        <v>102</v>
      </c>
      <c r="K740" s="154">
        <v>953909</v>
      </c>
      <c r="L740" s="86" t="s">
        <v>2503</v>
      </c>
      <c r="M740" s="79"/>
      <c r="N740" s="84">
        <v>3</v>
      </c>
      <c r="O740" s="95"/>
      <c r="P740" s="80"/>
      <c r="Q740" s="84" t="s">
        <v>776</v>
      </c>
      <c r="R740" s="101">
        <v>45383</v>
      </c>
    </row>
    <row r="741" spans="1:19" ht="37.15" customHeight="1">
      <c r="A741" s="90" t="s">
        <v>2504</v>
      </c>
      <c r="B741" s="74" t="s">
        <v>53</v>
      </c>
      <c r="C741" s="75"/>
      <c r="D741" s="76" t="s">
        <v>39</v>
      </c>
      <c r="E741" s="77">
        <v>45328</v>
      </c>
      <c r="F741" s="77">
        <v>45418</v>
      </c>
      <c r="G741" s="74" t="s">
        <v>493</v>
      </c>
      <c r="H741" s="74" t="s">
        <v>2505</v>
      </c>
      <c r="I741" s="74"/>
      <c r="J741" s="74" t="s">
        <v>102</v>
      </c>
      <c r="K741" s="155" t="s">
        <v>42</v>
      </c>
      <c r="L741" s="78" t="s">
        <v>2506</v>
      </c>
      <c r="M741" s="79"/>
      <c r="N741" s="76">
        <v>3</v>
      </c>
      <c r="O741" s="95"/>
      <c r="P741" s="80"/>
      <c r="Q741" s="76" t="s">
        <v>776</v>
      </c>
      <c r="R741" s="100">
        <v>45383</v>
      </c>
    </row>
    <row r="742" spans="1:19" ht="37.15" customHeight="1">
      <c r="A742" s="89" t="s">
        <v>2507</v>
      </c>
      <c r="B742" s="82" t="s">
        <v>53</v>
      </c>
      <c r="C742" s="83"/>
      <c r="D742" s="84" t="s">
        <v>117</v>
      </c>
      <c r="E742" s="85">
        <v>45328</v>
      </c>
      <c r="F742" s="85">
        <v>45418</v>
      </c>
      <c r="G742" s="82" t="s">
        <v>493</v>
      </c>
      <c r="H742" s="82" t="s">
        <v>2231</v>
      </c>
      <c r="I742" s="82"/>
      <c r="J742" s="82" t="s">
        <v>56</v>
      </c>
      <c r="K742" s="154" t="s">
        <v>42</v>
      </c>
      <c r="L742" s="86" t="s">
        <v>2508</v>
      </c>
      <c r="M742" s="79"/>
      <c r="N742" s="84">
        <v>3</v>
      </c>
      <c r="O742" s="95"/>
      <c r="P742" s="80"/>
      <c r="Q742" s="84"/>
      <c r="R742" s="101"/>
    </row>
    <row r="743" spans="1:19" ht="37.15" hidden="1" customHeight="1">
      <c r="A743" s="90" t="s">
        <v>2509</v>
      </c>
      <c r="B743" s="74" t="s">
        <v>47</v>
      </c>
      <c r="C743" s="75"/>
      <c r="D743" s="76" t="s">
        <v>39</v>
      </c>
      <c r="E743" s="77">
        <v>45329</v>
      </c>
      <c r="F743" s="77">
        <v>45358</v>
      </c>
      <c r="G743" s="74" t="s">
        <v>71</v>
      </c>
      <c r="H743" s="92" t="s">
        <v>1181</v>
      </c>
      <c r="I743" s="92" t="s">
        <v>2510</v>
      </c>
      <c r="J743" s="74" t="s">
        <v>81</v>
      </c>
      <c r="K743" s="155">
        <v>515014</v>
      </c>
      <c r="L743" s="78" t="s">
        <v>2511</v>
      </c>
      <c r="M743" s="79"/>
      <c r="N743" s="76">
        <v>3</v>
      </c>
      <c r="O743" s="95"/>
      <c r="P743" s="80"/>
      <c r="Q743" s="76" t="s">
        <v>776</v>
      </c>
      <c r="R743" s="100">
        <v>45343</v>
      </c>
    </row>
    <row r="744" spans="1:19" ht="37.15" hidden="1" customHeight="1">
      <c r="A744" s="89" t="s">
        <v>2512</v>
      </c>
      <c r="B744" s="82" t="s">
        <v>47</v>
      </c>
      <c r="C744" s="83"/>
      <c r="D744" s="84" t="s">
        <v>39</v>
      </c>
      <c r="E744" s="85">
        <v>45329</v>
      </c>
      <c r="F744" s="85">
        <v>45358</v>
      </c>
      <c r="G744" s="82" t="s">
        <v>71</v>
      </c>
      <c r="H744" s="91" t="s">
        <v>1181</v>
      </c>
      <c r="I744" s="82" t="s">
        <v>1922</v>
      </c>
      <c r="J744" s="82" t="s">
        <v>1685</v>
      </c>
      <c r="K744" s="154">
        <v>515009</v>
      </c>
      <c r="L744" s="86" t="s">
        <v>2513</v>
      </c>
      <c r="M744" s="79"/>
      <c r="N744" s="84">
        <v>3</v>
      </c>
      <c r="O744" s="95"/>
      <c r="P744" s="80"/>
      <c r="Q744" s="84" t="s">
        <v>776</v>
      </c>
      <c r="R744" s="101">
        <v>45343</v>
      </c>
    </row>
    <row r="745" spans="1:19" ht="37.15" customHeight="1">
      <c r="A745" s="90" t="s">
        <v>2514</v>
      </c>
      <c r="B745" s="74" t="s">
        <v>53</v>
      </c>
      <c r="C745" s="75"/>
      <c r="D745" s="76" t="s">
        <v>117</v>
      </c>
      <c r="E745" s="77">
        <v>45331</v>
      </c>
      <c r="F745" s="77">
        <v>45361</v>
      </c>
      <c r="G745" s="74" t="s">
        <v>493</v>
      </c>
      <c r="H745" s="74" t="s">
        <v>102</v>
      </c>
      <c r="I745" s="74"/>
      <c r="J745" s="74" t="s">
        <v>2515</v>
      </c>
      <c r="K745" s="155" t="s">
        <v>42</v>
      </c>
      <c r="L745" s="78" t="s">
        <v>2516</v>
      </c>
      <c r="M745" s="79"/>
      <c r="N745" s="76">
        <v>3</v>
      </c>
      <c r="O745" s="95"/>
      <c r="P745" s="80"/>
      <c r="Q745" s="76"/>
      <c r="R745" s="100"/>
    </row>
    <row r="746" spans="1:19" ht="37.15" customHeight="1">
      <c r="A746" s="89" t="s">
        <v>2517</v>
      </c>
      <c r="B746" s="82" t="s">
        <v>53</v>
      </c>
      <c r="C746" s="83"/>
      <c r="D746" s="84" t="s">
        <v>39</v>
      </c>
      <c r="E746" s="85">
        <v>45335</v>
      </c>
      <c r="F746" s="85">
        <v>45425</v>
      </c>
      <c r="G746" s="82" t="s">
        <v>71</v>
      </c>
      <c r="H746" s="91" t="s">
        <v>2335</v>
      </c>
      <c r="I746" s="91"/>
      <c r="J746" s="82" t="s">
        <v>56</v>
      </c>
      <c r="K746" s="154">
        <v>515028</v>
      </c>
      <c r="L746" s="86" t="s">
        <v>2518</v>
      </c>
      <c r="M746" s="79"/>
      <c r="N746" s="84">
        <v>3</v>
      </c>
      <c r="O746" s="95"/>
      <c r="P746" s="80"/>
      <c r="Q746" s="84"/>
      <c r="R746" s="101"/>
    </row>
    <row r="747" spans="1:19" ht="37.15" hidden="1" customHeight="1">
      <c r="A747" s="90" t="s">
        <v>2519</v>
      </c>
      <c r="B747" s="74" t="s">
        <v>47</v>
      </c>
      <c r="C747" s="75"/>
      <c r="D747" s="76" t="s">
        <v>39</v>
      </c>
      <c r="E747" s="77">
        <v>45331</v>
      </c>
      <c r="F747" s="77">
        <v>45360</v>
      </c>
      <c r="G747" s="74" t="s">
        <v>279</v>
      </c>
      <c r="H747" s="74" t="s">
        <v>2520</v>
      </c>
      <c r="I747" s="74"/>
      <c r="J747" s="76" t="s">
        <v>2521</v>
      </c>
      <c r="K747" s="155" t="s">
        <v>42</v>
      </c>
      <c r="L747" s="78" t="s">
        <v>2522</v>
      </c>
      <c r="M747" s="79"/>
      <c r="N747" s="76">
        <v>3</v>
      </c>
      <c r="O747" s="95"/>
      <c r="P747" s="80"/>
      <c r="Q747" s="76" t="s">
        <v>776</v>
      </c>
      <c r="R747" s="100">
        <v>45348</v>
      </c>
    </row>
    <row r="748" spans="1:19" ht="37.15" customHeight="1">
      <c r="A748" s="89" t="s">
        <v>2523</v>
      </c>
      <c r="B748" s="82" t="s">
        <v>53</v>
      </c>
      <c r="C748" s="83"/>
      <c r="D748" s="84" t="s">
        <v>39</v>
      </c>
      <c r="E748" s="85">
        <v>45335</v>
      </c>
      <c r="F748" s="85">
        <v>45425</v>
      </c>
      <c r="G748" s="82" t="s">
        <v>71</v>
      </c>
      <c r="H748" s="82" t="s">
        <v>2120</v>
      </c>
      <c r="I748" s="82"/>
      <c r="J748" s="82" t="s">
        <v>56</v>
      </c>
      <c r="K748" s="154">
        <v>515053</v>
      </c>
      <c r="L748" s="86" t="s">
        <v>2524</v>
      </c>
      <c r="M748" s="79"/>
      <c r="N748" s="84">
        <v>3</v>
      </c>
      <c r="O748" s="95"/>
      <c r="P748" s="80"/>
      <c r="Q748" s="84"/>
      <c r="R748" s="101"/>
    </row>
    <row r="749" spans="1:19" ht="37.15" customHeight="1">
      <c r="A749" s="90" t="s">
        <v>2525</v>
      </c>
      <c r="B749" s="74" t="s">
        <v>53</v>
      </c>
      <c r="C749" s="75"/>
      <c r="D749" s="76" t="s">
        <v>39</v>
      </c>
      <c r="E749" s="77">
        <v>45336</v>
      </c>
      <c r="F749" s="77">
        <v>45426</v>
      </c>
      <c r="G749" s="74" t="s">
        <v>71</v>
      </c>
      <c r="H749" s="74" t="s">
        <v>2526</v>
      </c>
      <c r="I749" s="74"/>
      <c r="J749" s="74" t="s">
        <v>102</v>
      </c>
      <c r="K749" s="155">
        <v>515059</v>
      </c>
      <c r="L749" s="78" t="s">
        <v>2527</v>
      </c>
      <c r="M749" s="79"/>
      <c r="N749" s="76">
        <v>3</v>
      </c>
      <c r="O749" s="95"/>
      <c r="P749" s="80"/>
      <c r="Q749" s="76"/>
      <c r="R749" s="100"/>
    </row>
    <row r="750" spans="1:19" ht="37.15" hidden="1" customHeight="1">
      <c r="A750" s="89" t="s">
        <v>2528</v>
      </c>
      <c r="B750" s="82" t="s">
        <v>47</v>
      </c>
      <c r="C750" s="83"/>
      <c r="D750" s="84" t="s">
        <v>39</v>
      </c>
      <c r="E750" s="85">
        <v>45338</v>
      </c>
      <c r="F750" s="85">
        <v>45367</v>
      </c>
      <c r="G750" s="82" t="s">
        <v>71</v>
      </c>
      <c r="H750" s="82" t="s">
        <v>2529</v>
      </c>
      <c r="I750" s="82" t="s">
        <v>102</v>
      </c>
      <c r="J750" s="82" t="s">
        <v>2530</v>
      </c>
      <c r="K750" s="154" t="s">
        <v>2531</v>
      </c>
      <c r="L750" s="86" t="s">
        <v>2532</v>
      </c>
      <c r="M750" s="79"/>
      <c r="N750" s="84">
        <v>3</v>
      </c>
      <c r="O750" s="95"/>
      <c r="P750" s="80"/>
      <c r="Q750" s="84" t="s">
        <v>776</v>
      </c>
      <c r="R750" s="101"/>
      <c r="S750" t="s">
        <v>2533</v>
      </c>
    </row>
    <row r="751" spans="1:19" ht="37.15" hidden="1" customHeight="1">
      <c r="A751" s="90" t="s">
        <v>2534</v>
      </c>
      <c r="B751" s="74" t="s">
        <v>47</v>
      </c>
      <c r="C751" s="75"/>
      <c r="D751" s="76" t="s">
        <v>39</v>
      </c>
      <c r="E751" s="77">
        <v>45345</v>
      </c>
      <c r="F751" s="77">
        <v>45375</v>
      </c>
      <c r="G751" s="74" t="s">
        <v>71</v>
      </c>
      <c r="H751" s="74" t="s">
        <v>1161</v>
      </c>
      <c r="I751" s="74" t="s">
        <v>2535</v>
      </c>
      <c r="J751" s="74" t="s">
        <v>56</v>
      </c>
      <c r="K751" s="155" t="s">
        <v>2536</v>
      </c>
      <c r="L751" s="78" t="s">
        <v>2537</v>
      </c>
      <c r="M751" s="79"/>
      <c r="N751" s="76">
        <v>3</v>
      </c>
      <c r="O751" s="95"/>
      <c r="P751" s="80"/>
      <c r="Q751" s="76" t="s">
        <v>776</v>
      </c>
      <c r="R751" s="100">
        <v>45369</v>
      </c>
    </row>
    <row r="752" spans="1:19" ht="37.15" hidden="1" customHeight="1">
      <c r="A752" s="89" t="s">
        <v>2538</v>
      </c>
      <c r="B752" s="82" t="s">
        <v>47</v>
      </c>
      <c r="C752" s="83"/>
      <c r="D752" s="84" t="s">
        <v>39</v>
      </c>
      <c r="E752" s="85">
        <v>45345</v>
      </c>
      <c r="F752" s="85">
        <v>45375</v>
      </c>
      <c r="G752" s="82" t="s">
        <v>71</v>
      </c>
      <c r="H752" s="82" t="s">
        <v>1161</v>
      </c>
      <c r="I752" s="82" t="s">
        <v>2539</v>
      </c>
      <c r="J752" s="82" t="s">
        <v>2540</v>
      </c>
      <c r="K752" s="154" t="s">
        <v>2541</v>
      </c>
      <c r="L752" s="86" t="s">
        <v>2542</v>
      </c>
      <c r="M752" s="79"/>
      <c r="N752" s="84">
        <v>3</v>
      </c>
      <c r="O752" s="95"/>
      <c r="P752" s="80"/>
      <c r="Q752" s="84" t="s">
        <v>776</v>
      </c>
      <c r="R752" s="101">
        <v>45369</v>
      </c>
    </row>
    <row r="753" spans="1:19" ht="37.15" customHeight="1">
      <c r="A753" s="90" t="s">
        <v>2543</v>
      </c>
      <c r="B753" s="74" t="s">
        <v>53</v>
      </c>
      <c r="C753" s="75"/>
      <c r="D753" s="76" t="s">
        <v>39</v>
      </c>
      <c r="E753" s="77">
        <v>45348</v>
      </c>
      <c r="F753" s="77">
        <v>45442</v>
      </c>
      <c r="G753" s="74" t="s">
        <v>654</v>
      </c>
      <c r="H753" s="74" t="s">
        <v>102</v>
      </c>
      <c r="I753" s="74"/>
      <c r="J753" s="74" t="s">
        <v>744</v>
      </c>
      <c r="K753" s="155" t="s">
        <v>452</v>
      </c>
      <c r="L753" s="78" t="s">
        <v>2544</v>
      </c>
      <c r="M753" s="79"/>
      <c r="N753" s="76">
        <v>3</v>
      </c>
      <c r="O753" s="95"/>
      <c r="P753" s="80"/>
      <c r="Q753" s="76" t="s">
        <v>776</v>
      </c>
      <c r="R753" s="100"/>
    </row>
    <row r="754" spans="1:19" ht="37.15" customHeight="1">
      <c r="A754" s="89" t="s">
        <v>2545</v>
      </c>
      <c r="B754" s="82" t="s">
        <v>53</v>
      </c>
      <c r="C754" s="83"/>
      <c r="D754" s="84" t="s">
        <v>117</v>
      </c>
      <c r="E754" s="85">
        <v>45349</v>
      </c>
      <c r="F754" s="85">
        <v>45378</v>
      </c>
      <c r="G754" s="82" t="s">
        <v>493</v>
      </c>
      <c r="H754" s="82" t="s">
        <v>2401</v>
      </c>
      <c r="I754" s="82"/>
      <c r="J754" s="82" t="s">
        <v>56</v>
      </c>
      <c r="K754" s="154" t="s">
        <v>886</v>
      </c>
      <c r="L754" s="86" t="s">
        <v>2546</v>
      </c>
      <c r="M754" s="79"/>
      <c r="N754" s="84">
        <v>3</v>
      </c>
      <c r="O754" s="95"/>
      <c r="P754" s="80"/>
      <c r="Q754" s="84"/>
      <c r="R754" s="101"/>
    </row>
    <row r="755" spans="1:19" ht="37.15" customHeight="1">
      <c r="A755" s="90" t="s">
        <v>2547</v>
      </c>
      <c r="B755" s="74" t="s">
        <v>53</v>
      </c>
      <c r="C755" s="75"/>
      <c r="D755" s="76" t="s">
        <v>39</v>
      </c>
      <c r="E755" s="77">
        <v>45352</v>
      </c>
      <c r="F755" s="77">
        <v>45444</v>
      </c>
      <c r="G755" s="74" t="s">
        <v>71</v>
      </c>
      <c r="H755" s="74" t="s">
        <v>2231</v>
      </c>
      <c r="I755" s="74"/>
      <c r="J755" s="74" t="s">
        <v>102</v>
      </c>
      <c r="K755" s="155" t="s">
        <v>886</v>
      </c>
      <c r="L755" s="78" t="s">
        <v>2548</v>
      </c>
      <c r="M755" s="79"/>
      <c r="N755" s="76">
        <v>3</v>
      </c>
      <c r="O755" s="95"/>
      <c r="P755" s="80"/>
      <c r="Q755" s="76" t="s">
        <v>776</v>
      </c>
      <c r="R755" s="100">
        <v>45400</v>
      </c>
    </row>
    <row r="756" spans="1:19" ht="37.15" customHeight="1">
      <c r="A756" s="89" t="s">
        <v>2549</v>
      </c>
      <c r="B756" s="82" t="s">
        <v>53</v>
      </c>
      <c r="C756" s="83"/>
      <c r="D756" s="84" t="s">
        <v>39</v>
      </c>
      <c r="E756" s="85">
        <v>45363</v>
      </c>
      <c r="F756" s="85">
        <v>45455</v>
      </c>
      <c r="G756" s="82" t="s">
        <v>71</v>
      </c>
      <c r="H756" s="82" t="s">
        <v>2550</v>
      </c>
      <c r="I756" s="82"/>
      <c r="J756" s="82" t="s">
        <v>102</v>
      </c>
      <c r="K756" s="154" t="s">
        <v>886</v>
      </c>
      <c r="L756" s="86" t="s">
        <v>2551</v>
      </c>
      <c r="M756" s="79"/>
      <c r="N756" s="84">
        <v>3</v>
      </c>
      <c r="O756" s="95"/>
      <c r="P756" s="80"/>
      <c r="Q756" s="84"/>
      <c r="R756" s="101"/>
    </row>
    <row r="757" spans="1:19" ht="37.15" customHeight="1">
      <c r="A757" s="90" t="s">
        <v>2552</v>
      </c>
      <c r="B757" s="74" t="s">
        <v>53</v>
      </c>
      <c r="C757" s="75"/>
      <c r="D757" s="76" t="s">
        <v>39</v>
      </c>
      <c r="E757" s="77">
        <v>45364</v>
      </c>
      <c r="F757" s="77">
        <v>45395</v>
      </c>
      <c r="G757" s="74" t="s">
        <v>2553</v>
      </c>
      <c r="H757" s="74" t="s">
        <v>2554</v>
      </c>
      <c r="I757" s="74"/>
      <c r="J757" s="74" t="s">
        <v>102</v>
      </c>
      <c r="K757" s="155">
        <v>897411</v>
      </c>
      <c r="L757" s="78" t="s">
        <v>2555</v>
      </c>
      <c r="M757" s="79"/>
      <c r="N757" s="76">
        <v>3</v>
      </c>
      <c r="O757" s="95"/>
      <c r="P757" s="80"/>
      <c r="Q757" s="76"/>
      <c r="R757" s="100"/>
    </row>
    <row r="758" spans="1:19" ht="37.15" hidden="1" customHeight="1">
      <c r="A758" s="89" t="s">
        <v>2556</v>
      </c>
      <c r="B758" s="82" t="s">
        <v>47</v>
      </c>
      <c r="C758" s="83"/>
      <c r="D758" s="84" t="s">
        <v>117</v>
      </c>
      <c r="E758" s="164" t="s">
        <v>2557</v>
      </c>
      <c r="F758" s="139">
        <v>45401</v>
      </c>
      <c r="G758" s="82" t="s">
        <v>71</v>
      </c>
      <c r="H758" s="82" t="s">
        <v>2558</v>
      </c>
      <c r="I758" s="82"/>
      <c r="J758" s="82" t="s">
        <v>56</v>
      </c>
      <c r="K758" s="154" t="s">
        <v>2559</v>
      </c>
      <c r="L758" s="86" t="s">
        <v>2560</v>
      </c>
      <c r="M758" s="79"/>
      <c r="N758" s="84">
        <v>3</v>
      </c>
      <c r="O758" s="95"/>
      <c r="P758" s="80"/>
      <c r="Q758" s="84"/>
      <c r="R758" s="101"/>
      <c r="S758" s="165" t="s">
        <v>2561</v>
      </c>
    </row>
    <row r="759" spans="1:19" ht="37.15" customHeight="1">
      <c r="A759" s="90" t="s">
        <v>2562</v>
      </c>
      <c r="B759" s="74" t="s">
        <v>53</v>
      </c>
      <c r="C759" s="75"/>
      <c r="D759" s="76" t="s">
        <v>39</v>
      </c>
      <c r="E759" s="77">
        <v>45371</v>
      </c>
      <c r="F759" s="77">
        <v>45463</v>
      </c>
      <c r="G759" s="74" t="s">
        <v>71</v>
      </c>
      <c r="H759" s="74" t="s">
        <v>993</v>
      </c>
      <c r="I759" s="74"/>
      <c r="J759" s="74" t="s">
        <v>1570</v>
      </c>
      <c r="K759" s="155">
        <v>953965</v>
      </c>
      <c r="L759" s="78" t="s">
        <v>2563</v>
      </c>
      <c r="M759" s="79"/>
      <c r="N759" s="76">
        <v>5</v>
      </c>
      <c r="O759" s="95"/>
      <c r="P759" s="80"/>
      <c r="Q759" s="76"/>
      <c r="R759" s="100"/>
    </row>
    <row r="760" spans="1:19" ht="37.15" hidden="1" customHeight="1">
      <c r="A760" s="89" t="s">
        <v>2564</v>
      </c>
      <c r="B760" s="82" t="s">
        <v>47</v>
      </c>
      <c r="C760" s="83"/>
      <c r="D760" s="84" t="s">
        <v>39</v>
      </c>
      <c r="E760" s="85">
        <v>45376</v>
      </c>
      <c r="F760" s="85">
        <v>45407</v>
      </c>
      <c r="G760" s="82" t="s">
        <v>71</v>
      </c>
      <c r="H760" s="82" t="s">
        <v>2565</v>
      </c>
      <c r="I760" s="82" t="s">
        <v>1922</v>
      </c>
      <c r="J760" s="82" t="s">
        <v>56</v>
      </c>
      <c r="K760" s="154" t="s">
        <v>2566</v>
      </c>
      <c r="L760" s="86" t="s">
        <v>2567</v>
      </c>
      <c r="M760" s="79"/>
      <c r="N760" s="84">
        <v>3</v>
      </c>
      <c r="O760" s="95"/>
      <c r="P760" s="80"/>
      <c r="Q760" s="84" t="s">
        <v>776</v>
      </c>
      <c r="R760" s="101">
        <v>45391</v>
      </c>
    </row>
    <row r="761" spans="1:19" ht="37.15" hidden="1" customHeight="1">
      <c r="A761" s="90" t="s">
        <v>2568</v>
      </c>
      <c r="B761" s="74" t="s">
        <v>47</v>
      </c>
      <c r="C761" s="75"/>
      <c r="D761" s="76" t="s">
        <v>39</v>
      </c>
      <c r="E761" s="77">
        <v>45376</v>
      </c>
      <c r="F761" s="77">
        <v>45407</v>
      </c>
      <c r="G761" s="74" t="s">
        <v>71</v>
      </c>
      <c r="H761" s="74" t="s">
        <v>1504</v>
      </c>
      <c r="I761" s="82" t="s">
        <v>2569</v>
      </c>
      <c r="J761" s="74" t="s">
        <v>56</v>
      </c>
      <c r="K761" s="155" t="s">
        <v>2570</v>
      </c>
      <c r="L761" s="78" t="s">
        <v>2571</v>
      </c>
      <c r="M761" s="79"/>
      <c r="N761" s="76">
        <v>3</v>
      </c>
      <c r="O761" s="95"/>
      <c r="P761" s="80"/>
      <c r="Q761" s="76" t="s">
        <v>776</v>
      </c>
      <c r="R761" s="100">
        <v>45391</v>
      </c>
    </row>
    <row r="762" spans="1:19" ht="37.15" hidden="1" customHeight="1">
      <c r="A762" s="89" t="s">
        <v>2572</v>
      </c>
      <c r="B762" s="82" t="s">
        <v>38</v>
      </c>
      <c r="C762" s="83"/>
      <c r="D762" s="84" t="s">
        <v>39</v>
      </c>
      <c r="E762" s="85">
        <v>45377</v>
      </c>
      <c r="F762" s="85">
        <v>45408</v>
      </c>
      <c r="G762" s="82" t="s">
        <v>2573</v>
      </c>
      <c r="H762" s="82" t="s">
        <v>2574</v>
      </c>
      <c r="I762" s="82"/>
      <c r="J762" s="82" t="s">
        <v>56</v>
      </c>
      <c r="K762" s="154" t="s">
        <v>2575</v>
      </c>
      <c r="L762" s="86" t="s">
        <v>2576</v>
      </c>
      <c r="M762" s="79"/>
      <c r="N762" s="84">
        <v>3</v>
      </c>
      <c r="O762" s="95"/>
      <c r="P762" s="80"/>
      <c r="Q762" s="84" t="s">
        <v>776</v>
      </c>
      <c r="R762" s="101">
        <v>45400</v>
      </c>
      <c r="S762" s="123"/>
    </row>
    <row r="763" spans="1:19" ht="37.15" customHeight="1">
      <c r="A763" s="90" t="s">
        <v>2577</v>
      </c>
      <c r="B763" s="74" t="s">
        <v>53</v>
      </c>
      <c r="C763" s="75"/>
      <c r="D763" s="76" t="s">
        <v>39</v>
      </c>
      <c r="E763" s="77">
        <v>45377</v>
      </c>
      <c r="F763" s="77">
        <v>45408</v>
      </c>
      <c r="G763" s="74" t="s">
        <v>71</v>
      </c>
      <c r="H763" s="74" t="s">
        <v>2578</v>
      </c>
      <c r="I763" s="74"/>
      <c r="J763" s="74" t="s">
        <v>56</v>
      </c>
      <c r="K763" s="155">
        <v>935961</v>
      </c>
      <c r="L763" s="78" t="s">
        <v>2579</v>
      </c>
      <c r="M763" s="79"/>
      <c r="N763" s="76">
        <v>3</v>
      </c>
      <c r="O763" s="95"/>
      <c r="P763" s="80"/>
      <c r="Q763" s="76" t="s">
        <v>776</v>
      </c>
      <c r="R763" s="100"/>
    </row>
    <row r="764" spans="1:19" ht="37.15" customHeight="1">
      <c r="A764" s="89" t="s">
        <v>2580</v>
      </c>
      <c r="B764" s="82" t="s">
        <v>53</v>
      </c>
      <c r="C764" s="83"/>
      <c r="D764" s="84" t="s">
        <v>39</v>
      </c>
      <c r="E764" s="85">
        <v>45379</v>
      </c>
      <c r="F764" s="85">
        <v>45410</v>
      </c>
      <c r="G764" s="82" t="s">
        <v>71</v>
      </c>
      <c r="H764" s="82" t="s">
        <v>2581</v>
      </c>
      <c r="I764" s="82"/>
      <c r="J764" s="82" t="s">
        <v>56</v>
      </c>
      <c r="K764" s="154">
        <v>935962</v>
      </c>
      <c r="L764" s="86" t="s">
        <v>2582</v>
      </c>
      <c r="M764" s="79"/>
      <c r="N764" s="84">
        <v>3</v>
      </c>
      <c r="O764" s="95"/>
      <c r="P764" s="80"/>
      <c r="Q764" s="84" t="s">
        <v>776</v>
      </c>
      <c r="R764" s="101"/>
    </row>
    <row r="765" spans="1:19" ht="37.15" customHeight="1">
      <c r="A765" s="27" t="s">
        <v>2583</v>
      </c>
      <c r="B765" s="74" t="s">
        <v>53</v>
      </c>
      <c r="C765" s="75"/>
      <c r="D765" s="76" t="s">
        <v>39</v>
      </c>
      <c r="E765" s="77">
        <v>45379</v>
      </c>
      <c r="F765" s="77">
        <v>45410</v>
      </c>
      <c r="G765" s="74" t="s">
        <v>71</v>
      </c>
      <c r="H765" s="74"/>
      <c r="I765" s="74"/>
      <c r="J765" s="74"/>
      <c r="K765" s="155"/>
      <c r="L765" s="78"/>
      <c r="M765" s="79"/>
      <c r="N765" s="76"/>
      <c r="O765" s="95"/>
      <c r="P765" s="80"/>
      <c r="Q765" s="76"/>
      <c r="R765" s="100"/>
    </row>
    <row r="766" spans="1:19" ht="37.15" hidden="1" customHeight="1">
      <c r="A766" s="89" t="s">
        <v>2584</v>
      </c>
      <c r="B766" s="82" t="s">
        <v>47</v>
      </c>
      <c r="C766" s="83"/>
      <c r="D766" s="84" t="s">
        <v>39</v>
      </c>
      <c r="E766" s="85">
        <v>45384</v>
      </c>
      <c r="F766" s="85">
        <v>45414</v>
      </c>
      <c r="G766" s="82" t="s">
        <v>279</v>
      </c>
      <c r="H766" s="82" t="s">
        <v>2585</v>
      </c>
      <c r="I766" s="82"/>
      <c r="J766" s="82" t="s">
        <v>56</v>
      </c>
      <c r="K766" s="154" t="s">
        <v>2586</v>
      </c>
      <c r="L766" s="86" t="s">
        <v>2587</v>
      </c>
      <c r="M766" s="79"/>
      <c r="N766" s="84">
        <v>3</v>
      </c>
      <c r="O766" s="95"/>
      <c r="P766" s="80"/>
      <c r="Q766" s="84" t="s">
        <v>776</v>
      </c>
      <c r="R766" s="101">
        <v>45391</v>
      </c>
    </row>
    <row r="767" spans="1:19" ht="37.15" customHeight="1">
      <c r="A767" s="90" t="s">
        <v>2588</v>
      </c>
      <c r="B767" s="74" t="s">
        <v>53</v>
      </c>
      <c r="C767" s="75"/>
      <c r="D767" s="76" t="s">
        <v>39</v>
      </c>
      <c r="E767" s="77">
        <v>45384</v>
      </c>
      <c r="F767" s="77">
        <v>45414</v>
      </c>
      <c r="G767" s="74" t="s">
        <v>2589</v>
      </c>
      <c r="H767" s="74" t="s">
        <v>2590</v>
      </c>
      <c r="I767" s="74"/>
      <c r="J767" s="74" t="s">
        <v>56</v>
      </c>
      <c r="K767" s="155"/>
      <c r="L767" s="78" t="s">
        <v>2591</v>
      </c>
      <c r="M767" s="79"/>
      <c r="N767" s="76">
        <v>3</v>
      </c>
      <c r="O767" s="95"/>
      <c r="P767" s="80"/>
      <c r="Q767" s="76" t="s">
        <v>776</v>
      </c>
      <c r="R767" s="100">
        <v>45447</v>
      </c>
    </row>
    <row r="768" spans="1:19" ht="39.200000000000003" customHeight="1">
      <c r="A768" s="89" t="s">
        <v>2592</v>
      </c>
      <c r="B768" s="82" t="s">
        <v>53</v>
      </c>
      <c r="C768" s="83"/>
      <c r="D768" s="84" t="s">
        <v>39</v>
      </c>
      <c r="E768" s="85">
        <v>45391</v>
      </c>
      <c r="F768" s="85">
        <v>45421</v>
      </c>
      <c r="G768" s="82" t="s">
        <v>71</v>
      </c>
      <c r="H768" s="82" t="s">
        <v>2593</v>
      </c>
      <c r="I768" s="82"/>
      <c r="J768" s="82" t="s">
        <v>56</v>
      </c>
      <c r="K768" s="154">
        <v>515406</v>
      </c>
      <c r="L768" s="86" t="s">
        <v>2594</v>
      </c>
      <c r="M768" s="79"/>
      <c r="N768" s="84">
        <v>3</v>
      </c>
      <c r="O768" s="95"/>
      <c r="P768" s="80"/>
      <c r="Q768" s="84" t="s">
        <v>776</v>
      </c>
      <c r="R768" s="101"/>
    </row>
    <row r="769" spans="1:19" ht="37.15" customHeight="1">
      <c r="A769" s="90" t="s">
        <v>2595</v>
      </c>
      <c r="B769" s="74" t="s">
        <v>53</v>
      </c>
      <c r="C769" s="75"/>
      <c r="D769" s="76" t="s">
        <v>39</v>
      </c>
      <c r="E769" s="77">
        <v>45393</v>
      </c>
      <c r="F769" s="77">
        <v>45423</v>
      </c>
      <c r="G769" s="74" t="s">
        <v>71</v>
      </c>
      <c r="H769" s="74" t="s">
        <v>2596</v>
      </c>
      <c r="I769" s="74"/>
      <c r="J769" s="74" t="s">
        <v>316</v>
      </c>
      <c r="K769" s="155">
        <v>515409</v>
      </c>
      <c r="L769" s="78" t="s">
        <v>2597</v>
      </c>
      <c r="M769" s="79"/>
      <c r="N769" s="76">
        <v>3</v>
      </c>
      <c r="O769" s="95"/>
      <c r="P769" s="80"/>
      <c r="Q769" s="76" t="s">
        <v>776</v>
      </c>
      <c r="R769" s="100"/>
    </row>
    <row r="770" spans="1:19" ht="37.15" customHeight="1">
      <c r="A770" s="89" t="s">
        <v>2598</v>
      </c>
      <c r="B770" s="82" t="s">
        <v>53</v>
      </c>
      <c r="C770" s="83"/>
      <c r="D770" s="84" t="s">
        <v>39</v>
      </c>
      <c r="E770" s="85">
        <v>45394</v>
      </c>
      <c r="F770" s="85">
        <v>45424</v>
      </c>
      <c r="G770" s="82" t="s">
        <v>2599</v>
      </c>
      <c r="H770" s="91" t="s">
        <v>2600</v>
      </c>
      <c r="I770" s="91"/>
      <c r="J770" s="82" t="s">
        <v>98</v>
      </c>
      <c r="K770" s="154"/>
      <c r="L770" s="86" t="s">
        <v>2601</v>
      </c>
      <c r="M770" s="79"/>
      <c r="N770" s="84">
        <v>3</v>
      </c>
      <c r="O770" s="95"/>
      <c r="P770" s="80"/>
      <c r="Q770" s="84"/>
      <c r="R770" s="101"/>
    </row>
    <row r="771" spans="1:19" ht="37.15" customHeight="1">
      <c r="A771" s="90" t="s">
        <v>2602</v>
      </c>
      <c r="B771" s="74" t="s">
        <v>53</v>
      </c>
      <c r="C771" s="75"/>
      <c r="D771" s="76" t="s">
        <v>39</v>
      </c>
      <c r="E771" s="77">
        <v>45394</v>
      </c>
      <c r="F771" s="77">
        <v>45424</v>
      </c>
      <c r="G771" s="74" t="s">
        <v>2599</v>
      </c>
      <c r="H771" s="92" t="s">
        <v>2600</v>
      </c>
      <c r="I771" s="92"/>
      <c r="J771" s="74" t="s">
        <v>316</v>
      </c>
      <c r="K771" s="155"/>
      <c r="L771" s="78" t="s">
        <v>2601</v>
      </c>
      <c r="M771" s="79"/>
      <c r="N771" s="76">
        <v>3</v>
      </c>
      <c r="O771" s="95"/>
      <c r="P771" s="80"/>
      <c r="Q771" s="76"/>
      <c r="R771" s="100"/>
    </row>
    <row r="772" spans="1:19" ht="37.15" customHeight="1">
      <c r="A772" s="89" t="s">
        <v>2603</v>
      </c>
      <c r="B772" s="82" t="s">
        <v>53</v>
      </c>
      <c r="C772" s="83"/>
      <c r="D772" s="84" t="s">
        <v>39</v>
      </c>
      <c r="E772" s="85">
        <v>45383</v>
      </c>
      <c r="F772" s="85">
        <v>45428</v>
      </c>
      <c r="G772" s="82" t="s">
        <v>71</v>
      </c>
      <c r="H772" s="82" t="s">
        <v>2604</v>
      </c>
      <c r="I772" s="82"/>
      <c r="J772" s="82" t="s">
        <v>316</v>
      </c>
      <c r="K772" s="166">
        <v>515427897552</v>
      </c>
      <c r="L772" s="86" t="s">
        <v>2605</v>
      </c>
      <c r="M772" s="79"/>
      <c r="N772" s="84">
        <v>3</v>
      </c>
      <c r="O772" s="95"/>
      <c r="P772" s="80"/>
      <c r="Q772" s="84"/>
      <c r="R772" s="101"/>
    </row>
    <row r="773" spans="1:19" ht="37.15" hidden="1" customHeight="1">
      <c r="A773" s="90" t="s">
        <v>2606</v>
      </c>
      <c r="B773" s="74" t="s">
        <v>47</v>
      </c>
      <c r="C773" s="75"/>
      <c r="D773" s="76" t="s">
        <v>39</v>
      </c>
      <c r="E773" s="77">
        <v>45399</v>
      </c>
      <c r="F773" s="77">
        <v>45429</v>
      </c>
      <c r="G773" s="74" t="s">
        <v>71</v>
      </c>
      <c r="H773" s="74" t="s">
        <v>1504</v>
      </c>
      <c r="I773" s="82" t="s">
        <v>2569</v>
      </c>
      <c r="J773" s="74" t="s">
        <v>56</v>
      </c>
      <c r="K773" s="155" t="s">
        <v>2607</v>
      </c>
      <c r="L773" s="78" t="s">
        <v>2608</v>
      </c>
      <c r="M773" s="79"/>
      <c r="N773" s="76">
        <v>3</v>
      </c>
      <c r="O773" s="95"/>
      <c r="P773" s="80"/>
      <c r="Q773" s="76" t="s">
        <v>776</v>
      </c>
      <c r="R773" s="100"/>
      <c r="S773" t="s">
        <v>2533</v>
      </c>
    </row>
    <row r="774" spans="1:19" ht="37.15" hidden="1" customHeight="1">
      <c r="A774" s="89" t="s">
        <v>2609</v>
      </c>
      <c r="B774" s="82" t="s">
        <v>47</v>
      </c>
      <c r="C774" s="83"/>
      <c r="D774" s="84" t="s">
        <v>39</v>
      </c>
      <c r="E774" s="85">
        <v>45400</v>
      </c>
      <c r="F774" s="85">
        <v>45430</v>
      </c>
      <c r="G774" s="82" t="s">
        <v>71</v>
      </c>
      <c r="H774" s="82" t="s">
        <v>2610</v>
      </c>
      <c r="I774" s="82" t="s">
        <v>2569</v>
      </c>
      <c r="J774" s="82" t="s">
        <v>56</v>
      </c>
      <c r="K774" s="154" t="s">
        <v>2607</v>
      </c>
      <c r="L774" s="86" t="s">
        <v>2611</v>
      </c>
      <c r="M774" s="79"/>
      <c r="N774" s="84">
        <v>6</v>
      </c>
      <c r="O774" s="95"/>
      <c r="P774" s="80"/>
      <c r="Q774" s="84" t="s">
        <v>776</v>
      </c>
      <c r="R774" s="101"/>
      <c r="S774" t="s">
        <v>2533</v>
      </c>
    </row>
    <row r="775" spans="1:19" ht="37.15" customHeight="1">
      <c r="A775" s="90" t="s">
        <v>2612</v>
      </c>
      <c r="B775" s="74" t="s">
        <v>53</v>
      </c>
      <c r="C775" s="75"/>
      <c r="D775" s="76" t="s">
        <v>39</v>
      </c>
      <c r="E775" s="77">
        <v>45407</v>
      </c>
      <c r="F775" s="77">
        <v>45437</v>
      </c>
      <c r="G775" s="74" t="s">
        <v>71</v>
      </c>
      <c r="H775" s="74" t="s">
        <v>2613</v>
      </c>
      <c r="I775" s="74"/>
      <c r="J775" s="74" t="s">
        <v>56</v>
      </c>
      <c r="K775" s="155">
        <v>515469</v>
      </c>
      <c r="L775" s="78" t="s">
        <v>2614</v>
      </c>
      <c r="M775" s="79"/>
      <c r="N775" s="76">
        <v>3</v>
      </c>
      <c r="O775" s="95"/>
      <c r="P775" s="80"/>
      <c r="Q775" s="76" t="s">
        <v>776</v>
      </c>
      <c r="R775" s="100"/>
    </row>
    <row r="776" spans="1:19" ht="37.15" customHeight="1">
      <c r="A776" s="89" t="s">
        <v>2615</v>
      </c>
      <c r="B776" s="82" t="s">
        <v>53</v>
      </c>
      <c r="C776" s="83"/>
      <c r="D776" s="84" t="s">
        <v>39</v>
      </c>
      <c r="E776" s="85">
        <v>45407</v>
      </c>
      <c r="F776" s="85">
        <v>45437</v>
      </c>
      <c r="G776" s="82" t="s">
        <v>2599</v>
      </c>
      <c r="H776" s="82" t="s">
        <v>2616</v>
      </c>
      <c r="I776" s="82"/>
      <c r="J776" s="82" t="s">
        <v>56</v>
      </c>
      <c r="K776" s="154">
        <v>953996</v>
      </c>
      <c r="L776" s="121" t="s">
        <v>2617</v>
      </c>
      <c r="M776" s="79"/>
      <c r="N776" s="84">
        <v>3</v>
      </c>
      <c r="O776" s="95"/>
      <c r="P776" s="80"/>
      <c r="Q776" s="84"/>
      <c r="R776" s="101"/>
    </row>
    <row r="777" spans="1:19" ht="37.15" customHeight="1">
      <c r="A777" s="90" t="s">
        <v>2618</v>
      </c>
      <c r="B777" s="74" t="s">
        <v>53</v>
      </c>
      <c r="C777" s="75"/>
      <c r="D777" s="76" t="s">
        <v>39</v>
      </c>
      <c r="E777" s="77">
        <v>45413</v>
      </c>
      <c r="F777" s="77">
        <v>45444</v>
      </c>
      <c r="G777" s="74" t="s">
        <v>2589</v>
      </c>
      <c r="H777" s="74" t="s">
        <v>2619</v>
      </c>
      <c r="I777" s="74"/>
      <c r="J777" s="74" t="s">
        <v>2515</v>
      </c>
      <c r="K777" s="155"/>
      <c r="L777" s="78" t="s">
        <v>2620</v>
      </c>
      <c r="M777" s="79"/>
      <c r="N777" s="76">
        <v>3</v>
      </c>
      <c r="O777" s="95"/>
      <c r="P777" s="80"/>
      <c r="Q777" s="76" t="s">
        <v>776</v>
      </c>
      <c r="R777" s="100">
        <v>45447</v>
      </c>
    </row>
    <row r="778" spans="1:19" ht="37.15" customHeight="1">
      <c r="A778" s="89" t="s">
        <v>2621</v>
      </c>
      <c r="B778" s="82" t="s">
        <v>53</v>
      </c>
      <c r="C778" s="83"/>
      <c r="D778" s="84" t="s">
        <v>39</v>
      </c>
      <c r="E778" s="85">
        <v>45418</v>
      </c>
      <c r="F778" s="85">
        <v>45449</v>
      </c>
      <c r="G778" s="82" t="s">
        <v>71</v>
      </c>
      <c r="H778" s="82" t="s">
        <v>2622</v>
      </c>
      <c r="I778" s="82"/>
      <c r="J778" s="82" t="s">
        <v>56</v>
      </c>
      <c r="K778" s="154">
        <v>515545</v>
      </c>
      <c r="L778" s="86" t="s">
        <v>2623</v>
      </c>
      <c r="M778" s="79"/>
      <c r="N778" s="84">
        <v>3</v>
      </c>
      <c r="O778" s="95"/>
      <c r="P778" s="80"/>
      <c r="Q778" s="84" t="s">
        <v>776</v>
      </c>
      <c r="R778" s="101"/>
    </row>
    <row r="779" spans="1:19" ht="37.15" customHeight="1">
      <c r="A779" s="90" t="s">
        <v>2624</v>
      </c>
      <c r="B779" s="74" t="s">
        <v>53</v>
      </c>
      <c r="C779" s="75"/>
      <c r="D779" s="76" t="s">
        <v>39</v>
      </c>
      <c r="E779" s="77">
        <v>45418</v>
      </c>
      <c r="F779" s="77">
        <v>45449</v>
      </c>
      <c r="G779" s="74" t="s">
        <v>71</v>
      </c>
      <c r="H779" s="74" t="s">
        <v>2625</v>
      </c>
      <c r="I779" s="74"/>
      <c r="J779" s="74" t="s">
        <v>253</v>
      </c>
      <c r="K779" s="155">
        <v>897628</v>
      </c>
      <c r="L779" s="78" t="s">
        <v>2626</v>
      </c>
      <c r="M779" s="79"/>
      <c r="N779" s="76">
        <v>3</v>
      </c>
      <c r="O779" s="95"/>
      <c r="P779" s="80"/>
      <c r="Q779" s="76"/>
      <c r="R779" s="100"/>
    </row>
    <row r="780" spans="1:19" ht="37.15" customHeight="1">
      <c r="A780" s="89" t="s">
        <v>2627</v>
      </c>
      <c r="B780" s="82" t="s">
        <v>53</v>
      </c>
      <c r="C780" s="83"/>
      <c r="D780" s="84" t="s">
        <v>39</v>
      </c>
      <c r="E780" s="85">
        <v>45426</v>
      </c>
      <c r="F780" s="85">
        <v>45457</v>
      </c>
      <c r="G780" s="82" t="s">
        <v>2589</v>
      </c>
      <c r="H780" s="82" t="s">
        <v>2619</v>
      </c>
      <c r="I780" s="82"/>
      <c r="J780" s="82" t="s">
        <v>2515</v>
      </c>
      <c r="K780" s="154"/>
      <c r="L780" s="86" t="s">
        <v>2620</v>
      </c>
      <c r="M780" s="79"/>
      <c r="N780" s="84">
        <v>3</v>
      </c>
      <c r="O780" s="95"/>
      <c r="P780" s="80"/>
      <c r="Q780" s="84" t="s">
        <v>776</v>
      </c>
      <c r="R780" s="101"/>
    </row>
    <row r="781" spans="1:19" ht="37.15" hidden="1" customHeight="1">
      <c r="A781" s="90" t="s">
        <v>2628</v>
      </c>
      <c r="B781" s="74" t="s">
        <v>38</v>
      </c>
      <c r="C781" s="75"/>
      <c r="D781" s="76" t="s">
        <v>39</v>
      </c>
      <c r="E781" s="77">
        <v>45426</v>
      </c>
      <c r="F781" s="77">
        <v>45457</v>
      </c>
      <c r="G781" s="74" t="s">
        <v>108</v>
      </c>
      <c r="H781" s="74" t="s">
        <v>2629</v>
      </c>
      <c r="I781" s="74"/>
      <c r="J781" s="74" t="s">
        <v>1378</v>
      </c>
      <c r="K781" s="155" t="s">
        <v>2630</v>
      </c>
      <c r="L781" s="78" t="s">
        <v>2631</v>
      </c>
      <c r="M781" s="79"/>
      <c r="N781" s="76"/>
      <c r="O781" s="95"/>
      <c r="P781" s="80"/>
      <c r="Q781" s="76"/>
      <c r="R781" s="100"/>
      <c r="S781" t="s">
        <v>2632</v>
      </c>
    </row>
    <row r="782" spans="1:19" s="9" customFormat="1" ht="37.15" hidden="1" customHeight="1">
      <c r="A782" s="21" t="s">
        <v>2633</v>
      </c>
      <c r="B782" s="135" t="s">
        <v>38</v>
      </c>
      <c r="C782" s="136"/>
      <c r="D782" s="137" t="s">
        <v>39</v>
      </c>
      <c r="E782" s="139">
        <v>45426</v>
      </c>
      <c r="F782" s="139">
        <v>45457</v>
      </c>
      <c r="G782" s="135" t="s">
        <v>108</v>
      </c>
      <c r="H782" s="84" t="s">
        <v>2634</v>
      </c>
      <c r="I782" s="84"/>
      <c r="J782" s="135" t="s">
        <v>81</v>
      </c>
      <c r="K782" s="159" t="s">
        <v>2635</v>
      </c>
      <c r="L782" s="140" t="s">
        <v>2636</v>
      </c>
      <c r="M782" s="141"/>
      <c r="N782" s="137">
        <v>0</v>
      </c>
      <c r="O782" s="95"/>
      <c r="P782" s="142"/>
      <c r="Q782" s="137" t="s">
        <v>42</v>
      </c>
      <c r="R782" s="24" t="s">
        <v>42</v>
      </c>
      <c r="S782" s="9" t="s">
        <v>2632</v>
      </c>
    </row>
    <row r="783" spans="1:19" ht="42" customHeight="1">
      <c r="A783" s="90" t="s">
        <v>2637</v>
      </c>
      <c r="B783" s="74" t="s">
        <v>53</v>
      </c>
      <c r="C783" s="75"/>
      <c r="D783" s="76" t="s">
        <v>39</v>
      </c>
      <c r="E783" s="77">
        <v>45427</v>
      </c>
      <c r="F783" s="77">
        <v>45458</v>
      </c>
      <c r="G783" s="74" t="s">
        <v>71</v>
      </c>
      <c r="H783" s="92" t="s">
        <v>2335</v>
      </c>
      <c r="I783" s="92"/>
      <c r="J783" s="74" t="s">
        <v>56</v>
      </c>
      <c r="K783" s="155">
        <v>515599</v>
      </c>
      <c r="L783" s="78" t="s">
        <v>2638</v>
      </c>
      <c r="M783" s="79"/>
      <c r="N783" s="76">
        <v>3</v>
      </c>
      <c r="O783" s="95"/>
      <c r="P783" s="80"/>
      <c r="Q783" s="76" t="s">
        <v>776</v>
      </c>
      <c r="R783" s="100"/>
    </row>
    <row r="784" spans="1:19" ht="43.5" customHeight="1">
      <c r="A784" s="89" t="s">
        <v>2639</v>
      </c>
      <c r="B784" s="82" t="s">
        <v>53</v>
      </c>
      <c r="C784" s="83"/>
      <c r="D784" s="84" t="s">
        <v>39</v>
      </c>
      <c r="E784" s="85">
        <v>45427</v>
      </c>
      <c r="F784" s="85">
        <v>45458</v>
      </c>
      <c r="G784" s="82" t="s">
        <v>71</v>
      </c>
      <c r="H784" s="82" t="s">
        <v>2625</v>
      </c>
      <c r="I784" s="82"/>
      <c r="J784" s="82" t="s">
        <v>56</v>
      </c>
      <c r="K784" s="154">
        <v>515604</v>
      </c>
      <c r="L784" s="86" t="s">
        <v>2640</v>
      </c>
      <c r="M784" s="79"/>
      <c r="N784" s="84">
        <v>3</v>
      </c>
      <c r="O784" s="95"/>
      <c r="P784" s="80"/>
      <c r="Q784" s="84" t="s">
        <v>776</v>
      </c>
      <c r="R784" s="101"/>
    </row>
    <row r="785" spans="1:19" ht="62.1" hidden="1" customHeight="1">
      <c r="A785" s="90" t="s">
        <v>2641</v>
      </c>
      <c r="B785" s="74" t="s">
        <v>47</v>
      </c>
      <c r="C785" s="75"/>
      <c r="D785" s="76" t="s">
        <v>39</v>
      </c>
      <c r="E785" s="77">
        <v>45427</v>
      </c>
      <c r="F785" s="77">
        <v>45458</v>
      </c>
      <c r="G785" s="74" t="s">
        <v>71</v>
      </c>
      <c r="H785" s="167" t="s">
        <v>2642</v>
      </c>
      <c r="I785" s="167" t="s">
        <v>2643</v>
      </c>
      <c r="J785" s="74" t="s">
        <v>56</v>
      </c>
      <c r="K785" s="155" t="s">
        <v>2644</v>
      </c>
      <c r="L785" s="78" t="s">
        <v>2645</v>
      </c>
      <c r="M785" s="79"/>
      <c r="N785" s="76">
        <v>3</v>
      </c>
      <c r="O785" s="95"/>
      <c r="P785" s="80"/>
      <c r="Q785" s="76"/>
      <c r="R785" s="100">
        <v>45450</v>
      </c>
    </row>
    <row r="786" spans="1:19" ht="37.15" hidden="1" customHeight="1">
      <c r="A786" s="89" t="s">
        <v>2646</v>
      </c>
      <c r="B786" s="82" t="s">
        <v>38</v>
      </c>
      <c r="C786" s="83"/>
      <c r="D786" s="84" t="s">
        <v>39</v>
      </c>
      <c r="E786" s="85">
        <v>45428</v>
      </c>
      <c r="F786" s="85">
        <v>45459</v>
      </c>
      <c r="G786" s="82" t="s">
        <v>108</v>
      </c>
      <c r="H786" s="82" t="s">
        <v>2647</v>
      </c>
      <c r="I786" s="82"/>
      <c r="J786" s="82" t="s">
        <v>2648</v>
      </c>
      <c r="K786" s="154" t="s">
        <v>2649</v>
      </c>
      <c r="L786" s="86" t="s">
        <v>2650</v>
      </c>
      <c r="M786" s="79"/>
      <c r="N786" s="84">
        <v>3</v>
      </c>
      <c r="O786" s="95"/>
      <c r="P786" s="80"/>
      <c r="Q786" s="84"/>
      <c r="R786" s="101"/>
      <c r="S786" t="s">
        <v>2651</v>
      </c>
    </row>
    <row r="787" spans="1:19" ht="37.15" customHeight="1">
      <c r="A787" s="90" t="s">
        <v>2652</v>
      </c>
      <c r="B787" s="74" t="s">
        <v>53</v>
      </c>
      <c r="C787" s="75"/>
      <c r="D787" s="76" t="s">
        <v>39</v>
      </c>
      <c r="E787" s="77">
        <v>45434</v>
      </c>
      <c r="F787" s="77">
        <v>45465</v>
      </c>
      <c r="G787" s="74" t="s">
        <v>71</v>
      </c>
      <c r="H787" s="74" t="s">
        <v>2103</v>
      </c>
      <c r="I787" s="74"/>
      <c r="J787" s="74" t="s">
        <v>56</v>
      </c>
      <c r="K787" s="155">
        <v>515649</v>
      </c>
      <c r="L787" s="78" t="s">
        <v>2653</v>
      </c>
      <c r="M787" s="79"/>
      <c r="N787" s="76">
        <v>3</v>
      </c>
      <c r="O787" s="95"/>
      <c r="P787" s="80"/>
      <c r="Q787" s="76"/>
      <c r="R787" s="100"/>
    </row>
    <row r="788" spans="1:19" ht="37.15" customHeight="1">
      <c r="A788" s="89" t="s">
        <v>2654</v>
      </c>
      <c r="B788" s="82" t="s">
        <v>53</v>
      </c>
      <c r="C788" s="83"/>
      <c r="D788" s="84" t="s">
        <v>39</v>
      </c>
      <c r="E788" s="85">
        <v>45434</v>
      </c>
      <c r="F788" s="85">
        <v>45465</v>
      </c>
      <c r="G788" s="82" t="s">
        <v>71</v>
      </c>
      <c r="H788" s="82" t="s">
        <v>2655</v>
      </c>
      <c r="I788" s="82"/>
      <c r="J788" s="82" t="s">
        <v>56</v>
      </c>
      <c r="K788" s="154">
        <v>515659</v>
      </c>
      <c r="L788" s="86" t="s">
        <v>2656</v>
      </c>
      <c r="M788" s="79"/>
      <c r="N788" s="84">
        <v>3</v>
      </c>
      <c r="O788" s="95"/>
      <c r="P788" s="80"/>
      <c r="Q788" s="84"/>
      <c r="R788" s="101"/>
    </row>
    <row r="789" spans="1:19" ht="37.15" customHeight="1">
      <c r="A789" s="90" t="s">
        <v>2657</v>
      </c>
      <c r="B789" s="74" t="s">
        <v>53</v>
      </c>
      <c r="C789" s="75"/>
      <c r="D789" s="76" t="s">
        <v>39</v>
      </c>
      <c r="E789" s="77">
        <v>45434</v>
      </c>
      <c r="F789" s="77">
        <v>45465</v>
      </c>
      <c r="G789" s="74" t="s">
        <v>71</v>
      </c>
      <c r="H789" s="74" t="s">
        <v>2658</v>
      </c>
      <c r="I789" s="74"/>
      <c r="J789" s="74" t="s">
        <v>56</v>
      </c>
      <c r="K789" s="74">
        <v>897684</v>
      </c>
      <c r="L789" s="78" t="s">
        <v>2659</v>
      </c>
      <c r="M789" s="79"/>
      <c r="N789" s="76">
        <v>3</v>
      </c>
      <c r="O789" s="95"/>
      <c r="P789" s="80"/>
      <c r="Q789" s="76"/>
      <c r="R789" s="100"/>
    </row>
    <row r="790" spans="1:19" ht="37.15" customHeight="1">
      <c r="A790" s="89" t="s">
        <v>2660</v>
      </c>
      <c r="B790" s="82" t="s">
        <v>53</v>
      </c>
      <c r="C790" s="83"/>
      <c r="D790" s="84" t="s">
        <v>39</v>
      </c>
      <c r="E790" s="85">
        <v>45435</v>
      </c>
      <c r="F790" s="85">
        <v>45466</v>
      </c>
      <c r="G790" s="82" t="s">
        <v>71</v>
      </c>
      <c r="H790" s="82" t="s">
        <v>2661</v>
      </c>
      <c r="I790" s="82"/>
      <c r="J790" s="82" t="s">
        <v>56</v>
      </c>
      <c r="K790" s="154">
        <v>515662</v>
      </c>
      <c r="L790" s="86" t="s">
        <v>2662</v>
      </c>
      <c r="M790" s="79"/>
      <c r="N790" s="84">
        <v>3</v>
      </c>
      <c r="O790" s="95"/>
      <c r="P790" s="80"/>
      <c r="Q790" s="84"/>
      <c r="R790" s="101"/>
    </row>
    <row r="791" spans="1:19" ht="37.15" customHeight="1">
      <c r="A791" s="90" t="s">
        <v>2663</v>
      </c>
      <c r="B791" s="74" t="s">
        <v>53</v>
      </c>
      <c r="C791" s="75"/>
      <c r="D791" s="76" t="s">
        <v>39</v>
      </c>
      <c r="E791" s="77">
        <v>45440</v>
      </c>
      <c r="F791" s="77">
        <v>45471</v>
      </c>
      <c r="G791" s="74" t="s">
        <v>71</v>
      </c>
      <c r="H791" s="74" t="s">
        <v>2664</v>
      </c>
      <c r="I791" s="74"/>
      <c r="J791" s="74" t="s">
        <v>56</v>
      </c>
      <c r="K791" s="155">
        <v>515667</v>
      </c>
      <c r="L791" s="78" t="s">
        <v>2665</v>
      </c>
      <c r="M791" s="79"/>
      <c r="N791" s="76">
        <v>3</v>
      </c>
      <c r="O791" s="95"/>
      <c r="P791" s="80"/>
      <c r="Q791" s="76"/>
      <c r="R791" s="100"/>
    </row>
    <row r="792" spans="1:19" ht="37.15" customHeight="1">
      <c r="A792" s="89" t="s">
        <v>2666</v>
      </c>
      <c r="B792" s="82" t="s">
        <v>53</v>
      </c>
      <c r="C792" s="83"/>
      <c r="D792" s="84" t="s">
        <v>39</v>
      </c>
      <c r="E792" s="85">
        <v>45443</v>
      </c>
      <c r="F792" s="85">
        <v>45474</v>
      </c>
      <c r="G792" s="82" t="s">
        <v>71</v>
      </c>
      <c r="H792" s="91" t="s">
        <v>2667</v>
      </c>
      <c r="I792" s="91"/>
      <c r="J792" s="82" t="s">
        <v>56</v>
      </c>
      <c r="K792" s="154"/>
      <c r="L792" s="86" t="s">
        <v>2668</v>
      </c>
      <c r="M792" s="79"/>
      <c r="N792" s="84">
        <v>3</v>
      </c>
      <c r="O792" s="95"/>
      <c r="P792" s="80"/>
      <c r="Q792" s="84"/>
      <c r="R792" s="101"/>
    </row>
    <row r="793" spans="1:19" ht="37.15" customHeight="1">
      <c r="A793" s="90" t="s">
        <v>2669</v>
      </c>
      <c r="B793" s="74" t="s">
        <v>53</v>
      </c>
      <c r="C793" s="75"/>
      <c r="D793" s="76" t="s">
        <v>39</v>
      </c>
      <c r="E793" s="77">
        <v>45443</v>
      </c>
      <c r="F793" s="77">
        <v>45474</v>
      </c>
      <c r="G793" s="74" t="s">
        <v>71</v>
      </c>
      <c r="H793" s="74" t="s">
        <v>2670</v>
      </c>
      <c r="I793" s="74"/>
      <c r="J793" s="74" t="s">
        <v>56</v>
      </c>
      <c r="K793" s="155">
        <v>936054</v>
      </c>
      <c r="L793" s="78" t="s">
        <v>2671</v>
      </c>
      <c r="M793" s="79"/>
      <c r="N793" s="76">
        <v>3</v>
      </c>
      <c r="O793" s="95"/>
      <c r="P793" s="80"/>
      <c r="Q793" s="76"/>
      <c r="R793" s="100"/>
    </row>
    <row r="794" spans="1:19" ht="37.15" customHeight="1">
      <c r="A794" s="89" t="s">
        <v>2672</v>
      </c>
      <c r="B794" s="82" t="s">
        <v>53</v>
      </c>
      <c r="C794" s="83"/>
      <c r="D794" s="84" t="s">
        <v>39</v>
      </c>
      <c r="E794" s="85">
        <v>45443</v>
      </c>
      <c r="F794" s="85">
        <v>45474</v>
      </c>
      <c r="G794" s="82" t="s">
        <v>71</v>
      </c>
      <c r="H794" s="82" t="s">
        <v>2673</v>
      </c>
      <c r="I794" s="82"/>
      <c r="J794" s="82" t="s">
        <v>56</v>
      </c>
      <c r="K794" s="154">
        <v>515691</v>
      </c>
      <c r="L794" s="86" t="s">
        <v>2674</v>
      </c>
      <c r="M794" s="79"/>
      <c r="N794" s="84">
        <v>3</v>
      </c>
      <c r="O794" s="95"/>
      <c r="P794" s="80"/>
      <c r="Q794" s="84"/>
      <c r="R794" s="101"/>
    </row>
    <row r="795" spans="1:19" ht="37.15" customHeight="1">
      <c r="A795" s="90" t="s">
        <v>2675</v>
      </c>
      <c r="B795" s="74" t="s">
        <v>53</v>
      </c>
      <c r="C795" s="75"/>
      <c r="D795" s="76" t="s">
        <v>39</v>
      </c>
      <c r="E795" s="77">
        <v>45447</v>
      </c>
      <c r="F795" s="77">
        <v>45477</v>
      </c>
      <c r="G795" s="74" t="s">
        <v>71</v>
      </c>
      <c r="H795" s="74" t="s">
        <v>2676</v>
      </c>
      <c r="I795" s="74"/>
      <c r="J795" s="74" t="s">
        <v>56</v>
      </c>
      <c r="K795" s="76">
        <v>954064</v>
      </c>
      <c r="L795" s="78" t="s">
        <v>2677</v>
      </c>
      <c r="M795" s="79"/>
      <c r="N795" s="76">
        <v>3</v>
      </c>
      <c r="O795" s="76"/>
      <c r="P795" s="80"/>
      <c r="Q795" s="76"/>
      <c r="R795" s="100"/>
    </row>
    <row r="796" spans="1:19" ht="37.15" hidden="1" customHeight="1">
      <c r="A796" s="89" t="s">
        <v>2678</v>
      </c>
      <c r="B796" s="82" t="s">
        <v>47</v>
      </c>
      <c r="C796" s="83"/>
      <c r="D796" s="84" t="s">
        <v>39</v>
      </c>
      <c r="E796" s="85">
        <v>45449</v>
      </c>
      <c r="F796" s="85">
        <v>45479</v>
      </c>
      <c r="G796" s="82" t="s">
        <v>71</v>
      </c>
      <c r="H796" s="91" t="s">
        <v>1098</v>
      </c>
      <c r="I796" s="168" t="s">
        <v>1378</v>
      </c>
      <c r="J796" s="82" t="s">
        <v>2347</v>
      </c>
      <c r="K796" s="154" t="s">
        <v>2679</v>
      </c>
      <c r="L796" s="86" t="s">
        <v>2680</v>
      </c>
      <c r="M796" s="79" t="s">
        <v>2681</v>
      </c>
      <c r="N796" s="84">
        <v>3</v>
      </c>
      <c r="O796" s="84"/>
      <c r="P796" s="80"/>
      <c r="Q796" s="84"/>
      <c r="R796" s="101">
        <v>45453</v>
      </c>
    </row>
    <row r="797" spans="1:19" ht="37.15" hidden="1" customHeight="1">
      <c r="A797" s="169" t="s">
        <v>2682</v>
      </c>
      <c r="B797" s="170" t="s">
        <v>47</v>
      </c>
      <c r="C797" s="170" t="s">
        <v>71</v>
      </c>
      <c r="D797" s="171" t="s">
        <v>39</v>
      </c>
      <c r="E797" s="172">
        <v>45453</v>
      </c>
      <c r="F797" s="172">
        <v>45483</v>
      </c>
      <c r="G797" s="170" t="s">
        <v>71</v>
      </c>
      <c r="H797" s="170" t="s">
        <v>1859</v>
      </c>
      <c r="I797" s="170" t="s">
        <v>2683</v>
      </c>
      <c r="J797" s="170" t="s">
        <v>2347</v>
      </c>
      <c r="K797" s="173" t="s">
        <v>2684</v>
      </c>
      <c r="L797" s="174" t="s">
        <v>2685</v>
      </c>
      <c r="M797" s="175" t="s">
        <v>2686</v>
      </c>
      <c r="N797" s="171">
        <v>3</v>
      </c>
      <c r="O797" s="171"/>
      <c r="P797" s="176" t="s">
        <v>2687</v>
      </c>
      <c r="Q797" s="171"/>
      <c r="R797" s="177"/>
      <c r="S797" t="s">
        <v>2688</v>
      </c>
    </row>
    <row r="798" spans="1:19" ht="90">
      <c r="A798" s="169" t="s">
        <v>2689</v>
      </c>
      <c r="B798" s="178" t="s">
        <v>53</v>
      </c>
      <c r="C798" s="178" t="s">
        <v>71</v>
      </c>
      <c r="D798" s="179" t="s">
        <v>39</v>
      </c>
      <c r="E798" s="180">
        <v>45454</v>
      </c>
      <c r="F798" s="180">
        <v>45484</v>
      </c>
      <c r="G798" s="178" t="s">
        <v>71</v>
      </c>
      <c r="H798" s="178" t="s">
        <v>2690</v>
      </c>
      <c r="I798" s="178"/>
      <c r="J798" s="178" t="s">
        <v>2347</v>
      </c>
      <c r="K798" s="181" t="s">
        <v>2691</v>
      </c>
      <c r="L798" s="182" t="s">
        <v>2692</v>
      </c>
      <c r="M798" s="57" t="s">
        <v>2693</v>
      </c>
      <c r="N798" s="179">
        <v>3</v>
      </c>
      <c r="O798" s="179"/>
      <c r="P798" s="183" t="s">
        <v>2694</v>
      </c>
      <c r="Q798" s="179"/>
      <c r="R798" s="184"/>
    </row>
    <row r="799" spans="1:19" ht="37.15" hidden="1" customHeight="1">
      <c r="A799" s="185" t="s">
        <v>2695</v>
      </c>
      <c r="B799" s="178" t="s">
        <v>47</v>
      </c>
      <c r="C799" s="178" t="s">
        <v>71</v>
      </c>
      <c r="D799" s="179" t="s">
        <v>39</v>
      </c>
      <c r="E799" s="180">
        <v>45455</v>
      </c>
      <c r="F799" s="180">
        <v>45485</v>
      </c>
      <c r="G799" s="178" t="s">
        <v>71</v>
      </c>
      <c r="H799" s="168" t="s">
        <v>2696</v>
      </c>
      <c r="I799" s="168" t="s">
        <v>1378</v>
      </c>
      <c r="J799" s="178" t="s">
        <v>2347</v>
      </c>
      <c r="K799" s="181" t="s">
        <v>2697</v>
      </c>
      <c r="L799" s="182" t="s">
        <v>2698</v>
      </c>
      <c r="M799" s="57" t="s">
        <v>2686</v>
      </c>
      <c r="N799" s="179">
        <v>3</v>
      </c>
      <c r="O799" s="179"/>
      <c r="P799" s="183" t="s">
        <v>2699</v>
      </c>
      <c r="Q799" s="179"/>
      <c r="R799" s="184"/>
    </row>
    <row r="800" spans="1:19" ht="120">
      <c r="A800" s="185" t="s">
        <v>2700</v>
      </c>
      <c r="B800" s="178" t="s">
        <v>53</v>
      </c>
      <c r="C800" s="178" t="s">
        <v>2701</v>
      </c>
      <c r="D800" s="179" t="s">
        <v>39</v>
      </c>
      <c r="E800" s="180">
        <v>45456</v>
      </c>
      <c r="F800" s="180">
        <v>45486</v>
      </c>
      <c r="G800" s="178" t="s">
        <v>2599</v>
      </c>
      <c r="H800" s="178" t="s">
        <v>2702</v>
      </c>
      <c r="I800" s="178"/>
      <c r="J800" s="178" t="s">
        <v>102</v>
      </c>
      <c r="K800" s="181" t="s">
        <v>2703</v>
      </c>
      <c r="L800" s="186" t="s">
        <v>2704</v>
      </c>
      <c r="M800" s="57" t="s">
        <v>2693</v>
      </c>
      <c r="N800" s="179">
        <v>3</v>
      </c>
      <c r="O800" s="179"/>
      <c r="P800" s="183" t="s">
        <v>2705</v>
      </c>
      <c r="Q800" s="179"/>
      <c r="R800" s="184"/>
    </row>
    <row r="801" spans="1:18" ht="42.75" customHeight="1">
      <c r="A801" s="8" t="s">
        <v>2706</v>
      </c>
      <c r="B801" s="178" t="s">
        <v>53</v>
      </c>
      <c r="C801" s="178" t="s">
        <v>71</v>
      </c>
      <c r="D801" s="179" t="s">
        <v>39</v>
      </c>
      <c r="E801" s="180">
        <v>45460</v>
      </c>
      <c r="F801" s="180">
        <v>45490</v>
      </c>
      <c r="G801" s="178" t="s">
        <v>71</v>
      </c>
      <c r="H801" s="178" t="s">
        <v>2493</v>
      </c>
      <c r="I801" s="178"/>
      <c r="J801" s="178" t="s">
        <v>56</v>
      </c>
      <c r="K801" s="178" t="s">
        <v>2707</v>
      </c>
      <c r="L801" s="182" t="s">
        <v>2708</v>
      </c>
      <c r="M801" s="57" t="s">
        <v>2681</v>
      </c>
      <c r="N801" s="179">
        <v>3</v>
      </c>
      <c r="O801" s="179"/>
      <c r="P801" s="183" t="s">
        <v>2709</v>
      </c>
      <c r="Q801" s="179"/>
      <c r="R801" s="184"/>
    </row>
    <row r="802" spans="1:18" ht="37.15" customHeight="1">
      <c r="A802" s="185" t="s">
        <v>2710</v>
      </c>
      <c r="B802" s="178" t="s">
        <v>53</v>
      </c>
      <c r="C802" s="178" t="s">
        <v>71</v>
      </c>
      <c r="D802" s="179" t="s">
        <v>39</v>
      </c>
      <c r="E802" s="180">
        <v>45461</v>
      </c>
      <c r="F802" s="180">
        <v>45491</v>
      </c>
      <c r="G802" s="178" t="s">
        <v>71</v>
      </c>
      <c r="H802" s="178" t="s">
        <v>2673</v>
      </c>
      <c r="I802" s="178"/>
      <c r="J802" s="178" t="s">
        <v>56</v>
      </c>
      <c r="K802" s="181">
        <v>515785</v>
      </c>
      <c r="L802" s="182" t="s">
        <v>2711</v>
      </c>
      <c r="M802" s="57" t="s">
        <v>2693</v>
      </c>
      <c r="N802" s="179">
        <v>3</v>
      </c>
      <c r="O802" s="179"/>
      <c r="P802" s="183" t="s">
        <v>2712</v>
      </c>
      <c r="Q802" s="179"/>
      <c r="R802" s="184"/>
    </row>
    <row r="803" spans="1:18" ht="45">
      <c r="A803" s="185" t="s">
        <v>2713</v>
      </c>
      <c r="B803" s="178" t="s">
        <v>53</v>
      </c>
      <c r="C803" s="178" t="s">
        <v>71</v>
      </c>
      <c r="D803" s="179" t="s">
        <v>39</v>
      </c>
      <c r="E803" s="180">
        <v>45461</v>
      </c>
      <c r="F803" s="180">
        <v>45491</v>
      </c>
      <c r="G803" s="178" t="s">
        <v>71</v>
      </c>
      <c r="H803" s="178" t="s">
        <v>2714</v>
      </c>
      <c r="I803" s="178"/>
      <c r="J803" s="178" t="s">
        <v>56</v>
      </c>
      <c r="K803" s="181">
        <v>954073</v>
      </c>
      <c r="L803" s="182" t="s">
        <v>2715</v>
      </c>
      <c r="M803" s="57" t="s">
        <v>2693</v>
      </c>
      <c r="N803" s="179">
        <v>3</v>
      </c>
      <c r="O803" s="187"/>
      <c r="P803" s="188" t="s">
        <v>2716</v>
      </c>
      <c r="Q803" s="179"/>
      <c r="R803" s="184"/>
    </row>
    <row r="804" spans="1:18" ht="37.15" customHeight="1">
      <c r="A804" s="185" t="s">
        <v>2717</v>
      </c>
      <c r="B804" s="178" t="s">
        <v>53</v>
      </c>
      <c r="C804" s="178" t="s">
        <v>71</v>
      </c>
      <c r="D804" s="179" t="s">
        <v>39</v>
      </c>
      <c r="E804" s="180">
        <v>45461</v>
      </c>
      <c r="F804" s="180">
        <v>45491</v>
      </c>
      <c r="G804" s="178" t="s">
        <v>71</v>
      </c>
      <c r="H804" s="189" t="s">
        <v>966</v>
      </c>
      <c r="I804" s="189"/>
      <c r="J804" s="178" t="s">
        <v>2718</v>
      </c>
      <c r="K804" s="181">
        <v>403505</v>
      </c>
      <c r="L804" s="182" t="s">
        <v>2719</v>
      </c>
      <c r="M804" s="57" t="s">
        <v>2693</v>
      </c>
      <c r="N804" s="179">
        <v>3</v>
      </c>
      <c r="O804" s="179"/>
      <c r="P804" s="183" t="s">
        <v>2720</v>
      </c>
      <c r="Q804" s="179"/>
      <c r="R804" s="184"/>
    </row>
    <row r="805" spans="1:18" ht="45">
      <c r="A805" s="185" t="s">
        <v>2721</v>
      </c>
      <c r="B805" s="178" t="s">
        <v>53</v>
      </c>
      <c r="C805" s="178" t="s">
        <v>71</v>
      </c>
      <c r="D805" s="179" t="s">
        <v>39</v>
      </c>
      <c r="E805" s="180">
        <v>45468</v>
      </c>
      <c r="F805" s="180">
        <v>45498</v>
      </c>
      <c r="G805" s="178" t="s">
        <v>71</v>
      </c>
      <c r="H805" s="189" t="s">
        <v>2289</v>
      </c>
      <c r="I805" s="189"/>
      <c r="J805" s="178" t="s">
        <v>56</v>
      </c>
      <c r="K805" s="181" t="s">
        <v>2722</v>
      </c>
      <c r="L805" s="182" t="s">
        <v>2723</v>
      </c>
      <c r="M805" s="57" t="s">
        <v>2693</v>
      </c>
      <c r="N805" s="179">
        <v>3</v>
      </c>
      <c r="O805" s="179"/>
      <c r="P805" s="183" t="s">
        <v>2724</v>
      </c>
      <c r="Q805" s="179"/>
      <c r="R805" s="184"/>
    </row>
    <row r="806" spans="1:18" ht="45">
      <c r="A806" s="185" t="s">
        <v>2725</v>
      </c>
      <c r="B806" s="178" t="s">
        <v>53</v>
      </c>
      <c r="C806" s="178" t="s">
        <v>71</v>
      </c>
      <c r="D806" s="179" t="s">
        <v>39</v>
      </c>
      <c r="E806" s="180">
        <v>45468</v>
      </c>
      <c r="F806" s="180">
        <v>45498</v>
      </c>
      <c r="G806" s="178" t="s">
        <v>71</v>
      </c>
      <c r="H806" s="168" t="s">
        <v>2726</v>
      </c>
      <c r="I806" s="168"/>
      <c r="J806" s="178" t="s">
        <v>2157</v>
      </c>
      <c r="K806" s="181" t="s">
        <v>2727</v>
      </c>
      <c r="L806" s="182" t="s">
        <v>2728</v>
      </c>
      <c r="M806" s="57" t="s">
        <v>2693</v>
      </c>
      <c r="N806" s="179">
        <v>3</v>
      </c>
      <c r="O806" s="179"/>
      <c r="P806" s="183" t="s">
        <v>2729</v>
      </c>
      <c r="Q806" s="179"/>
      <c r="R806" s="184"/>
    </row>
    <row r="807" spans="1:18" ht="37.15" hidden="1" customHeight="1">
      <c r="A807" s="185" t="s">
        <v>2730</v>
      </c>
      <c r="B807" s="178" t="s">
        <v>38</v>
      </c>
      <c r="C807" s="178" t="s">
        <v>2731</v>
      </c>
      <c r="D807" s="179" t="s">
        <v>39</v>
      </c>
      <c r="E807" s="180">
        <v>45492</v>
      </c>
      <c r="F807" s="180">
        <v>45523</v>
      </c>
      <c r="G807" s="178" t="s">
        <v>108</v>
      </c>
      <c r="H807" s="189" t="s">
        <v>2732</v>
      </c>
      <c r="I807" s="189"/>
      <c r="J807" s="178" t="s">
        <v>56</v>
      </c>
      <c r="K807" s="181" t="s">
        <v>2733</v>
      </c>
      <c r="L807" s="182" t="s">
        <v>2734</v>
      </c>
      <c r="M807" s="57" t="s">
        <v>2735</v>
      </c>
      <c r="N807" s="179">
        <v>3</v>
      </c>
      <c r="O807" s="179" t="s">
        <v>45</v>
      </c>
      <c r="P807" s="183" t="s">
        <v>2736</v>
      </c>
      <c r="Q807" s="84" t="s">
        <v>776</v>
      </c>
      <c r="R807" s="190" t="s">
        <v>2737</v>
      </c>
    </row>
    <row r="808" spans="1:18" ht="78.75" customHeight="1">
      <c r="A808" s="185" t="s">
        <v>2738</v>
      </c>
      <c r="B808" s="178" t="s">
        <v>53</v>
      </c>
      <c r="C808" s="178" t="s">
        <v>71</v>
      </c>
      <c r="D808" s="179" t="s">
        <v>39</v>
      </c>
      <c r="E808" s="180">
        <v>45502</v>
      </c>
      <c r="F808" s="180">
        <v>45533</v>
      </c>
      <c r="G808" s="178" t="s">
        <v>71</v>
      </c>
      <c r="H808" s="189" t="s">
        <v>2739</v>
      </c>
      <c r="I808" s="189"/>
      <c r="J808" s="178" t="s">
        <v>1570</v>
      </c>
      <c r="K808" s="181">
        <v>954119</v>
      </c>
      <c r="L808" s="182" t="s">
        <v>2740</v>
      </c>
      <c r="M808" s="57" t="s">
        <v>2741</v>
      </c>
      <c r="N808" s="179">
        <v>3</v>
      </c>
      <c r="O808" s="179"/>
      <c r="P808" s="183" t="s">
        <v>2742</v>
      </c>
      <c r="Q808" s="84"/>
      <c r="R808" s="190"/>
    </row>
    <row r="809" spans="1:18" ht="37.15" customHeight="1">
      <c r="A809" s="185" t="s">
        <v>2743</v>
      </c>
      <c r="B809" s="178" t="s">
        <v>53</v>
      </c>
      <c r="C809" s="178" t="s">
        <v>71</v>
      </c>
      <c r="D809" s="179" t="s">
        <v>39</v>
      </c>
      <c r="E809" s="180">
        <v>45503</v>
      </c>
      <c r="F809" s="180">
        <v>45534</v>
      </c>
      <c r="G809" s="178" t="s">
        <v>71</v>
      </c>
      <c r="H809" s="191" t="s">
        <v>2744</v>
      </c>
      <c r="I809" s="191"/>
      <c r="J809" s="178" t="s">
        <v>56</v>
      </c>
      <c r="K809" s="181" t="s">
        <v>2745</v>
      </c>
      <c r="L809" s="192" t="s">
        <v>2746</v>
      </c>
      <c r="M809" s="57" t="s">
        <v>2747</v>
      </c>
      <c r="N809" s="179">
        <v>3</v>
      </c>
      <c r="O809" s="179"/>
      <c r="P809" s="183"/>
      <c r="Q809" s="84"/>
      <c r="R809" s="190"/>
    </row>
    <row r="810" spans="1:18" ht="37.15" customHeight="1">
      <c r="A810" s="185" t="s">
        <v>2748</v>
      </c>
      <c r="B810" s="178" t="s">
        <v>53</v>
      </c>
      <c r="C810" s="178" t="s">
        <v>71</v>
      </c>
      <c r="D810" s="179" t="s">
        <v>39</v>
      </c>
      <c r="E810" s="180">
        <v>45503</v>
      </c>
      <c r="F810" s="180">
        <v>45534</v>
      </c>
      <c r="G810" s="178" t="s">
        <v>71</v>
      </c>
      <c r="H810" s="179" t="s">
        <v>2749</v>
      </c>
      <c r="I810" s="179"/>
      <c r="J810" s="178" t="s">
        <v>56</v>
      </c>
      <c r="K810" s="181" t="s">
        <v>2750</v>
      </c>
      <c r="L810" s="183" t="s">
        <v>2751</v>
      </c>
      <c r="M810" s="57" t="s">
        <v>2747</v>
      </c>
      <c r="N810" s="179">
        <v>3</v>
      </c>
      <c r="O810" s="179"/>
      <c r="P810" s="183"/>
      <c r="Q810" s="84"/>
      <c r="R810" s="190"/>
    </row>
    <row r="811" spans="1:18" ht="37.15" customHeight="1">
      <c r="A811" s="185" t="s">
        <v>2752</v>
      </c>
      <c r="B811" s="178" t="s">
        <v>53</v>
      </c>
      <c r="C811" s="178" t="s">
        <v>71</v>
      </c>
      <c r="D811" s="179" t="s">
        <v>39</v>
      </c>
      <c r="E811" s="180">
        <v>45503</v>
      </c>
      <c r="F811" s="180">
        <v>45534</v>
      </c>
      <c r="G811" s="178" t="s">
        <v>71</v>
      </c>
      <c r="H811" s="179" t="s">
        <v>2387</v>
      </c>
      <c r="I811" s="179"/>
      <c r="J811" s="178" t="s">
        <v>56</v>
      </c>
      <c r="K811" s="181" t="s">
        <v>2753</v>
      </c>
      <c r="L811" s="183" t="s">
        <v>2754</v>
      </c>
      <c r="M811" s="57" t="s">
        <v>2747</v>
      </c>
      <c r="N811" s="179">
        <v>3</v>
      </c>
      <c r="O811" s="179"/>
      <c r="P811" s="183"/>
      <c r="Q811" s="84"/>
      <c r="R811" s="190"/>
    </row>
    <row r="812" spans="1:18" ht="46.5" customHeight="1">
      <c r="A812" s="185" t="s">
        <v>2755</v>
      </c>
      <c r="B812" s="178" t="s">
        <v>53</v>
      </c>
      <c r="C812" s="178" t="s">
        <v>71</v>
      </c>
      <c r="D812" s="179" t="s">
        <v>39</v>
      </c>
      <c r="E812" s="180">
        <v>45505</v>
      </c>
      <c r="F812" s="180">
        <v>45536</v>
      </c>
      <c r="G812" s="178" t="s">
        <v>71</v>
      </c>
      <c r="H812" s="179" t="s">
        <v>2156</v>
      </c>
      <c r="I812" s="179"/>
      <c r="J812" s="178" t="s">
        <v>56</v>
      </c>
      <c r="K812" s="193" t="s">
        <v>2756</v>
      </c>
      <c r="L812" s="183" t="s">
        <v>2757</v>
      </c>
      <c r="M812" s="57" t="s">
        <v>2681</v>
      </c>
      <c r="N812" s="179">
        <v>3</v>
      </c>
      <c r="O812" s="179"/>
      <c r="P812" s="183"/>
      <c r="Q812" s="84"/>
      <c r="R812" s="190"/>
    </row>
    <row r="813" spans="1:18" ht="37.15" customHeight="1">
      <c r="A813" s="185" t="s">
        <v>2758</v>
      </c>
      <c r="B813" s="178" t="s">
        <v>53</v>
      </c>
      <c r="C813" s="178" t="s">
        <v>71</v>
      </c>
      <c r="D813" s="179" t="s">
        <v>39</v>
      </c>
      <c r="E813" s="180">
        <v>45523</v>
      </c>
      <c r="F813" s="180">
        <v>45554</v>
      </c>
      <c r="G813" s="178" t="s">
        <v>71</v>
      </c>
      <c r="H813" s="179" t="s">
        <v>2759</v>
      </c>
      <c r="I813" s="179"/>
      <c r="J813" s="178" t="s">
        <v>56</v>
      </c>
      <c r="K813" s="181" t="s">
        <v>2760</v>
      </c>
      <c r="L813" s="183" t="s">
        <v>2761</v>
      </c>
      <c r="M813" s="57" t="s">
        <v>2681</v>
      </c>
      <c r="N813" s="179">
        <v>3</v>
      </c>
      <c r="O813" s="179"/>
      <c r="P813" s="183"/>
      <c r="Q813" s="84"/>
      <c r="R813" s="190"/>
    </row>
    <row r="814" spans="1:18" ht="37.15" customHeight="1">
      <c r="A814" s="185" t="s">
        <v>2762</v>
      </c>
      <c r="B814" s="178" t="s">
        <v>53</v>
      </c>
      <c r="C814" s="178" t="s">
        <v>71</v>
      </c>
      <c r="D814" s="179" t="s">
        <v>39</v>
      </c>
      <c r="E814" s="180">
        <v>45534</v>
      </c>
      <c r="F814" s="180">
        <v>45565</v>
      </c>
      <c r="G814" s="178" t="s">
        <v>71</v>
      </c>
      <c r="H814" s="179" t="s">
        <v>2156</v>
      </c>
      <c r="I814" s="179"/>
      <c r="J814" s="178" t="s">
        <v>56</v>
      </c>
      <c r="K814" s="181" t="s">
        <v>2763</v>
      </c>
      <c r="L814" s="183" t="s">
        <v>2764</v>
      </c>
      <c r="M814" s="57" t="s">
        <v>2747</v>
      </c>
      <c r="N814" s="179">
        <v>3</v>
      </c>
      <c r="O814" s="179"/>
      <c r="P814" s="183"/>
      <c r="Q814" s="84"/>
      <c r="R814" s="190"/>
    </row>
    <row r="815" spans="1:18" ht="37.15" customHeight="1">
      <c r="A815" s="185" t="s">
        <v>2765</v>
      </c>
      <c r="B815" s="178" t="s">
        <v>53</v>
      </c>
      <c r="C815" s="178" t="s">
        <v>886</v>
      </c>
      <c r="D815" s="179" t="s">
        <v>39</v>
      </c>
      <c r="E815" s="180">
        <v>45540</v>
      </c>
      <c r="F815" s="180">
        <v>45596</v>
      </c>
      <c r="G815" s="178" t="s">
        <v>71</v>
      </c>
      <c r="H815" s="179" t="s">
        <v>2529</v>
      </c>
      <c r="I815" s="179"/>
      <c r="J815" s="178" t="s">
        <v>56</v>
      </c>
      <c r="K815" s="181"/>
      <c r="L815" s="183" t="s">
        <v>2766</v>
      </c>
      <c r="M815" s="57"/>
      <c r="N815" s="179"/>
      <c r="O815" s="179"/>
      <c r="P815" s="183"/>
      <c r="Q815" s="84"/>
      <c r="R815" s="190"/>
    </row>
    <row r="816" spans="1:18" ht="37.15" hidden="1" customHeight="1">
      <c r="A816" s="185" t="s">
        <v>2767</v>
      </c>
      <c r="B816" s="178" t="s">
        <v>38</v>
      </c>
      <c r="C816" s="178" t="s">
        <v>108</v>
      </c>
      <c r="D816" s="179" t="s">
        <v>39</v>
      </c>
      <c r="E816" s="180">
        <v>45540</v>
      </c>
      <c r="F816" s="180">
        <v>45597</v>
      </c>
      <c r="G816" s="178" t="s">
        <v>108</v>
      </c>
      <c r="H816" s="179" t="s">
        <v>1782</v>
      </c>
      <c r="I816" s="179" t="s">
        <v>2768</v>
      </c>
      <c r="J816" s="178" t="s">
        <v>570</v>
      </c>
      <c r="K816" s="181" t="s">
        <v>2769</v>
      </c>
      <c r="L816" s="183" t="s">
        <v>2770</v>
      </c>
      <c r="M816" s="57" t="s">
        <v>2735</v>
      </c>
      <c r="N816" s="179">
        <v>3</v>
      </c>
      <c r="O816" s="179" t="s">
        <v>45</v>
      </c>
      <c r="P816" s="194" t="s">
        <v>2771</v>
      </c>
      <c r="Q816" s="84" t="s">
        <v>776</v>
      </c>
      <c r="R816" s="190" t="s">
        <v>2772</v>
      </c>
    </row>
    <row r="817" spans="1:19" ht="37.15" hidden="1" customHeight="1">
      <c r="A817" s="185" t="s">
        <v>2773</v>
      </c>
      <c r="B817" s="178" t="s">
        <v>38</v>
      </c>
      <c r="C817" s="178" t="s">
        <v>71</v>
      </c>
      <c r="D817" s="179" t="s">
        <v>39</v>
      </c>
      <c r="E817" s="180">
        <v>45540</v>
      </c>
      <c r="F817" s="180">
        <v>45597</v>
      </c>
      <c r="G817" s="178" t="s">
        <v>71</v>
      </c>
      <c r="H817" s="179" t="s">
        <v>2670</v>
      </c>
      <c r="I817" s="179" t="s">
        <v>2768</v>
      </c>
      <c r="J817" s="178" t="s">
        <v>56</v>
      </c>
      <c r="K817" s="181" t="s">
        <v>2774</v>
      </c>
      <c r="L817" s="183" t="s">
        <v>2775</v>
      </c>
      <c r="M817" s="57" t="s">
        <v>2735</v>
      </c>
      <c r="N817" s="179">
        <v>3</v>
      </c>
      <c r="O817" s="179" t="s">
        <v>45</v>
      </c>
      <c r="P817" s="183" t="s">
        <v>2776</v>
      </c>
      <c r="Q817" s="84" t="s">
        <v>776</v>
      </c>
      <c r="R817" s="190" t="s">
        <v>2772</v>
      </c>
    </row>
    <row r="818" spans="1:19" ht="37.15" hidden="1" customHeight="1">
      <c r="A818" s="185" t="s">
        <v>2777</v>
      </c>
      <c r="B818" s="178" t="s">
        <v>38</v>
      </c>
      <c r="C818" s="178" t="s">
        <v>71</v>
      </c>
      <c r="D818" s="179" t="s">
        <v>39</v>
      </c>
      <c r="E818" s="180">
        <v>45540</v>
      </c>
      <c r="F818" s="180">
        <v>45597</v>
      </c>
      <c r="G818" s="178" t="s">
        <v>71</v>
      </c>
      <c r="H818" s="179" t="s">
        <v>2778</v>
      </c>
      <c r="I818" s="179" t="s">
        <v>2768</v>
      </c>
      <c r="J818" s="178" t="s">
        <v>56</v>
      </c>
      <c r="K818" s="181" t="s">
        <v>2779</v>
      </c>
      <c r="L818" s="183" t="s">
        <v>2780</v>
      </c>
      <c r="M818" s="57" t="s">
        <v>2735</v>
      </c>
      <c r="N818" s="179">
        <v>3</v>
      </c>
      <c r="O818" s="179" t="s">
        <v>45</v>
      </c>
      <c r="P818" s="183" t="s">
        <v>2781</v>
      </c>
      <c r="Q818" s="84" t="s">
        <v>776</v>
      </c>
      <c r="R818" s="190" t="s">
        <v>2772</v>
      </c>
    </row>
    <row r="819" spans="1:19" ht="50.25" customHeight="1">
      <c r="A819" s="185" t="s">
        <v>2782</v>
      </c>
      <c r="B819" s="178" t="s">
        <v>53</v>
      </c>
      <c r="C819" s="178" t="s">
        <v>71</v>
      </c>
      <c r="D819" s="179" t="s">
        <v>39</v>
      </c>
      <c r="E819" s="180">
        <v>45544</v>
      </c>
      <c r="F819" s="180">
        <v>45598</v>
      </c>
      <c r="G819" s="178" t="s">
        <v>71</v>
      </c>
      <c r="H819" s="179" t="s">
        <v>2783</v>
      </c>
      <c r="I819" s="179" t="s">
        <v>2784</v>
      </c>
      <c r="J819" s="178" t="s">
        <v>56</v>
      </c>
      <c r="K819" s="181" t="s">
        <v>2785</v>
      </c>
      <c r="L819" s="183" t="s">
        <v>2786</v>
      </c>
      <c r="M819" s="57"/>
      <c r="N819" s="179"/>
      <c r="O819" s="179"/>
      <c r="P819" s="183"/>
      <c r="Q819" s="84"/>
      <c r="R819" s="190"/>
    </row>
    <row r="820" spans="1:19" ht="37.15" customHeight="1">
      <c r="A820" s="185" t="s">
        <v>2787</v>
      </c>
      <c r="B820" s="178" t="s">
        <v>53</v>
      </c>
      <c r="C820" s="178" t="s">
        <v>2788</v>
      </c>
      <c r="D820" s="179" t="s">
        <v>39</v>
      </c>
      <c r="E820" s="180">
        <v>45545</v>
      </c>
      <c r="F820" s="180">
        <v>45599</v>
      </c>
      <c r="G820" s="178" t="s">
        <v>493</v>
      </c>
      <c r="H820" s="179" t="s">
        <v>2789</v>
      </c>
      <c r="I820" s="179" t="s">
        <v>2790</v>
      </c>
      <c r="J820" s="178" t="s">
        <v>56</v>
      </c>
      <c r="K820" s="181" t="s">
        <v>2791</v>
      </c>
      <c r="L820" s="183" t="s">
        <v>2792</v>
      </c>
      <c r="M820" s="57"/>
      <c r="N820" s="179"/>
      <c r="O820" s="179"/>
      <c r="P820" s="183"/>
      <c r="Q820" s="84"/>
      <c r="R820" s="190"/>
    </row>
    <row r="821" spans="1:19" ht="37.15" hidden="1" customHeight="1">
      <c r="A821" s="185" t="s">
        <v>2793</v>
      </c>
      <c r="B821" s="178" t="s">
        <v>38</v>
      </c>
      <c r="C821" s="178" t="s">
        <v>886</v>
      </c>
      <c r="D821" s="179" t="s">
        <v>39</v>
      </c>
      <c r="E821" s="180">
        <v>45546</v>
      </c>
      <c r="F821" s="180">
        <v>45607</v>
      </c>
      <c r="G821" s="178" t="s">
        <v>108</v>
      </c>
      <c r="H821" s="179" t="s">
        <v>2794</v>
      </c>
      <c r="I821" s="179" t="s">
        <v>2795</v>
      </c>
      <c r="J821" s="178" t="s">
        <v>570</v>
      </c>
      <c r="K821" s="181" t="s">
        <v>42</v>
      </c>
      <c r="L821" s="183" t="s">
        <v>2796</v>
      </c>
      <c r="M821" s="57" t="s">
        <v>2735</v>
      </c>
      <c r="N821" s="179">
        <v>3</v>
      </c>
      <c r="O821" s="179" t="s">
        <v>45</v>
      </c>
      <c r="P821" s="183" t="s">
        <v>2797</v>
      </c>
      <c r="Q821" s="84" t="s">
        <v>776</v>
      </c>
      <c r="R821" s="190" t="s">
        <v>2772</v>
      </c>
    </row>
    <row r="822" spans="1:19" ht="63" customHeight="1">
      <c r="A822" s="185" t="s">
        <v>2798</v>
      </c>
      <c r="B822" s="178" t="s">
        <v>53</v>
      </c>
      <c r="C822" s="178" t="s">
        <v>71</v>
      </c>
      <c r="D822" s="179" t="s">
        <v>39</v>
      </c>
      <c r="E822" s="180">
        <v>45546</v>
      </c>
      <c r="F822" s="180">
        <v>45576</v>
      </c>
      <c r="G822" s="178" t="s">
        <v>71</v>
      </c>
      <c r="H822" s="179" t="s">
        <v>2799</v>
      </c>
      <c r="I822" s="179" t="s">
        <v>2790</v>
      </c>
      <c r="J822" s="178" t="s">
        <v>56</v>
      </c>
      <c r="K822" s="181" t="s">
        <v>2800</v>
      </c>
      <c r="L822" s="183" t="s">
        <v>2801</v>
      </c>
      <c r="M822" s="57" t="s">
        <v>2741</v>
      </c>
      <c r="N822" s="179">
        <v>3</v>
      </c>
      <c r="O822" s="179"/>
      <c r="P822" s="183" t="s">
        <v>2802</v>
      </c>
      <c r="Q822" s="179"/>
      <c r="R822" s="184"/>
    </row>
    <row r="823" spans="1:19" ht="60" hidden="1">
      <c r="A823" s="185" t="s">
        <v>2803</v>
      </c>
      <c r="B823" s="178" t="s">
        <v>38</v>
      </c>
      <c r="C823" s="178" t="s">
        <v>108</v>
      </c>
      <c r="D823" s="179" t="s">
        <v>39</v>
      </c>
      <c r="E823" s="180">
        <v>45546</v>
      </c>
      <c r="F823" s="180" t="s">
        <v>42</v>
      </c>
      <c r="G823" s="178" t="s">
        <v>108</v>
      </c>
      <c r="H823" s="179" t="s">
        <v>2804</v>
      </c>
      <c r="I823" s="179" t="s">
        <v>2768</v>
      </c>
      <c r="J823" s="178" t="s">
        <v>2805</v>
      </c>
      <c r="K823" s="181" t="s">
        <v>2769</v>
      </c>
      <c r="L823" s="183" t="s">
        <v>2806</v>
      </c>
      <c r="M823" s="57" t="s">
        <v>2735</v>
      </c>
      <c r="N823" s="179">
        <v>3</v>
      </c>
      <c r="O823" s="179" t="s">
        <v>45</v>
      </c>
      <c r="P823" s="183" t="s">
        <v>2807</v>
      </c>
      <c r="Q823" s="84" t="s">
        <v>776</v>
      </c>
      <c r="R823" s="190" t="s">
        <v>2772</v>
      </c>
      <c r="S823" s="184"/>
    </row>
    <row r="824" spans="1:19" ht="37.15" hidden="1" customHeight="1">
      <c r="A824" s="185" t="s">
        <v>2808</v>
      </c>
      <c r="B824" s="178" t="s">
        <v>38</v>
      </c>
      <c r="C824" s="178" t="s">
        <v>71</v>
      </c>
      <c r="D824" s="179" t="s">
        <v>39</v>
      </c>
      <c r="E824" s="180">
        <v>45547</v>
      </c>
      <c r="F824" s="180">
        <v>45577</v>
      </c>
      <c r="G824" s="178" t="s">
        <v>71</v>
      </c>
      <c r="H824" s="179" t="s">
        <v>2809</v>
      </c>
      <c r="I824" s="179" t="s">
        <v>2795</v>
      </c>
      <c r="J824" s="178" t="s">
        <v>56</v>
      </c>
      <c r="K824" s="181" t="s">
        <v>2810</v>
      </c>
      <c r="L824" s="183" t="s">
        <v>2811</v>
      </c>
      <c r="M824" s="57" t="s">
        <v>2735</v>
      </c>
      <c r="N824" s="179">
        <v>3</v>
      </c>
      <c r="O824" s="179" t="s">
        <v>45</v>
      </c>
      <c r="P824" s="183" t="s">
        <v>2812</v>
      </c>
      <c r="Q824" s="84" t="s">
        <v>776</v>
      </c>
      <c r="R824" s="190" t="s">
        <v>2772</v>
      </c>
      <c r="S824" s="184"/>
    </row>
    <row r="825" spans="1:19" ht="37.15" customHeight="1">
      <c r="A825" s="185" t="s">
        <v>2813</v>
      </c>
      <c r="B825" s="178" t="s">
        <v>53</v>
      </c>
      <c r="C825" s="178" t="s">
        <v>71</v>
      </c>
      <c r="D825" s="179" t="s">
        <v>39</v>
      </c>
      <c r="E825" s="180">
        <v>45548</v>
      </c>
      <c r="F825" s="180">
        <v>45578</v>
      </c>
      <c r="G825" s="178" t="s">
        <v>71</v>
      </c>
      <c r="H825" s="179" t="s">
        <v>2814</v>
      </c>
      <c r="I825" s="179" t="s">
        <v>2815</v>
      </c>
      <c r="J825" s="178" t="s">
        <v>56</v>
      </c>
      <c r="K825" s="181" t="s">
        <v>2816</v>
      </c>
      <c r="L825" s="183" t="s">
        <v>2817</v>
      </c>
      <c r="M825" s="57" t="s">
        <v>2741</v>
      </c>
      <c r="N825" s="179">
        <v>3</v>
      </c>
      <c r="O825" s="179"/>
      <c r="P825" s="183" t="s">
        <v>2818</v>
      </c>
      <c r="Q825" s="84"/>
      <c r="R825" s="190"/>
      <c r="S825" s="184"/>
    </row>
    <row r="826" spans="1:19" ht="37.15" customHeight="1">
      <c r="A826" s="185" t="s">
        <v>2819</v>
      </c>
      <c r="B826" s="178" t="s">
        <v>53</v>
      </c>
      <c r="C826" s="178" t="s">
        <v>71</v>
      </c>
      <c r="D826" s="179" t="s">
        <v>39</v>
      </c>
      <c r="E826" s="180">
        <v>45552</v>
      </c>
      <c r="F826" s="180">
        <v>45581</v>
      </c>
      <c r="G826" s="178" t="s">
        <v>71</v>
      </c>
      <c r="H826" s="179" t="s">
        <v>2820</v>
      </c>
      <c r="I826" s="179" t="s">
        <v>2821</v>
      </c>
      <c r="J826" s="178" t="s">
        <v>56</v>
      </c>
      <c r="K826" s="181" t="s">
        <v>2822</v>
      </c>
      <c r="L826" s="183" t="s">
        <v>2823</v>
      </c>
      <c r="M826" s="57" t="s">
        <v>2824</v>
      </c>
      <c r="N826" s="179">
        <v>3</v>
      </c>
      <c r="O826" s="179"/>
      <c r="P826" s="183" t="s">
        <v>2825</v>
      </c>
      <c r="Q826" s="84"/>
      <c r="R826" s="190"/>
      <c r="S826" s="184"/>
    </row>
    <row r="827" spans="1:19" ht="48.75" customHeight="1">
      <c r="A827" s="185" t="s">
        <v>2826</v>
      </c>
      <c r="B827" s="178" t="s">
        <v>2827</v>
      </c>
      <c r="C827" s="178" t="s">
        <v>71</v>
      </c>
      <c r="D827" s="179" t="s">
        <v>39</v>
      </c>
      <c r="E827" s="180">
        <v>45552</v>
      </c>
      <c r="F827" s="180">
        <v>45581</v>
      </c>
      <c r="G827" s="178" t="s">
        <v>71</v>
      </c>
      <c r="H827" s="179" t="s">
        <v>2820</v>
      </c>
      <c r="I827" s="179" t="s">
        <v>2821</v>
      </c>
      <c r="J827" s="178" t="s">
        <v>56</v>
      </c>
      <c r="K827" s="181" t="s">
        <v>2828</v>
      </c>
      <c r="L827" s="183" t="s">
        <v>2829</v>
      </c>
      <c r="M827" s="57" t="s">
        <v>2824</v>
      </c>
      <c r="N827" s="179">
        <v>3</v>
      </c>
      <c r="O827" s="179"/>
      <c r="P827" s="183" t="s">
        <v>2830</v>
      </c>
      <c r="Q827" s="84"/>
      <c r="R827" s="190"/>
      <c r="S827" s="184"/>
    </row>
    <row r="828" spans="1:19" ht="87.75" customHeight="1">
      <c r="A828" s="185" t="s">
        <v>2831</v>
      </c>
      <c r="B828" s="178" t="s">
        <v>2827</v>
      </c>
      <c r="C828" s="178" t="s">
        <v>71</v>
      </c>
      <c r="D828" s="179" t="s">
        <v>39</v>
      </c>
      <c r="E828" s="180">
        <v>45553</v>
      </c>
      <c r="F828" s="180">
        <v>45644</v>
      </c>
      <c r="G828" s="178" t="s">
        <v>71</v>
      </c>
      <c r="H828" s="179" t="s">
        <v>2832</v>
      </c>
      <c r="I828" s="179" t="s">
        <v>2833</v>
      </c>
      <c r="J828" s="178" t="s">
        <v>207</v>
      </c>
      <c r="K828" s="181" t="s">
        <v>2834</v>
      </c>
      <c r="L828" s="183" t="s">
        <v>2835</v>
      </c>
      <c r="M828" s="57" t="s">
        <v>2741</v>
      </c>
      <c r="N828" s="179">
        <v>3</v>
      </c>
      <c r="O828" s="179"/>
      <c r="P828" s="183" t="s">
        <v>2836</v>
      </c>
      <c r="Q828" s="84"/>
      <c r="R828" s="190"/>
      <c r="S828" s="184"/>
    </row>
    <row r="829" spans="1:19" ht="93.75" customHeight="1">
      <c r="A829" s="185" t="s">
        <v>2837</v>
      </c>
      <c r="B829" s="178" t="s">
        <v>53</v>
      </c>
      <c r="C829" s="178" t="s">
        <v>71</v>
      </c>
      <c r="D829" s="179" t="s">
        <v>39</v>
      </c>
      <c r="E829" s="180">
        <v>45555</v>
      </c>
      <c r="F829" s="180">
        <v>45645</v>
      </c>
      <c r="G829" s="178" t="s">
        <v>71</v>
      </c>
      <c r="H829" s="179" t="s">
        <v>2838</v>
      </c>
      <c r="I829" s="179" t="s">
        <v>2839</v>
      </c>
      <c r="J829" s="178" t="s">
        <v>1570</v>
      </c>
      <c r="K829" s="181" t="s">
        <v>2840</v>
      </c>
      <c r="L829" s="183" t="s">
        <v>2841</v>
      </c>
      <c r="M829" s="57" t="s">
        <v>2824</v>
      </c>
      <c r="N829" s="179">
        <v>3</v>
      </c>
      <c r="O829" s="179"/>
      <c r="P829" s="183" t="s">
        <v>2842</v>
      </c>
      <c r="Q829" s="84"/>
      <c r="R829" s="190"/>
      <c r="S829" s="184"/>
    </row>
    <row r="830" spans="1:19" ht="34.5" customHeight="1">
      <c r="A830" s="185" t="s">
        <v>2843</v>
      </c>
      <c r="B830" s="178" t="s">
        <v>53</v>
      </c>
      <c r="C830" s="178" t="s">
        <v>886</v>
      </c>
      <c r="D830" s="179" t="s">
        <v>39</v>
      </c>
      <c r="E830" s="180">
        <v>45562</v>
      </c>
      <c r="F830" s="180">
        <v>45652</v>
      </c>
      <c r="G830" s="178" t="s">
        <v>71</v>
      </c>
      <c r="H830" s="179" t="s">
        <v>2838</v>
      </c>
      <c r="I830" s="179" t="s">
        <v>2844</v>
      </c>
      <c r="J830" s="178" t="s">
        <v>56</v>
      </c>
      <c r="K830" s="181" t="s">
        <v>2845</v>
      </c>
      <c r="L830" s="183" t="s">
        <v>2846</v>
      </c>
      <c r="M830" s="57" t="s">
        <v>2824</v>
      </c>
      <c r="N830" s="179">
        <v>3</v>
      </c>
      <c r="O830" s="179"/>
      <c r="P830" s="183" t="s">
        <v>2847</v>
      </c>
      <c r="Q830" s="84"/>
      <c r="R830" s="190"/>
      <c r="S830" s="184"/>
    </row>
    <row r="831" spans="1:19" ht="34.5" customHeight="1">
      <c r="A831" s="185" t="s">
        <v>2848</v>
      </c>
      <c r="B831" s="178" t="s">
        <v>53</v>
      </c>
      <c r="C831" s="178" t="s">
        <v>71</v>
      </c>
      <c r="D831" s="179" t="s">
        <v>39</v>
      </c>
      <c r="E831" s="180">
        <v>45561</v>
      </c>
      <c r="F831" s="180">
        <v>45591</v>
      </c>
      <c r="G831" s="178" t="s">
        <v>71</v>
      </c>
      <c r="H831" s="179" t="s">
        <v>2849</v>
      </c>
      <c r="I831" s="179" t="s">
        <v>2850</v>
      </c>
      <c r="J831" s="178" t="s">
        <v>1570</v>
      </c>
      <c r="K831" s="181" t="s">
        <v>2851</v>
      </c>
      <c r="L831" s="183" t="s">
        <v>2852</v>
      </c>
      <c r="M831" s="57" t="s">
        <v>2741</v>
      </c>
      <c r="N831" s="179">
        <v>3</v>
      </c>
      <c r="O831" s="179"/>
      <c r="P831" s="183" t="s">
        <v>2853</v>
      </c>
      <c r="Q831" s="84"/>
      <c r="R831" s="190"/>
      <c r="S831" s="184"/>
    </row>
    <row r="832" spans="1:19" ht="34.5" customHeight="1">
      <c r="A832" s="185" t="s">
        <v>2854</v>
      </c>
      <c r="B832" s="178" t="s">
        <v>53</v>
      </c>
      <c r="C832" s="178" t="s">
        <v>71</v>
      </c>
      <c r="D832" s="179" t="s">
        <v>39</v>
      </c>
      <c r="E832" s="180">
        <v>45567</v>
      </c>
      <c r="F832" s="180">
        <v>45627</v>
      </c>
      <c r="G832" s="178" t="s">
        <v>71</v>
      </c>
      <c r="H832" s="179" t="s">
        <v>2838</v>
      </c>
      <c r="I832" s="179" t="s">
        <v>2855</v>
      </c>
      <c r="J832" s="178" t="s">
        <v>56</v>
      </c>
      <c r="K832" s="181" t="s">
        <v>2856</v>
      </c>
      <c r="L832" s="183" t="s">
        <v>2857</v>
      </c>
      <c r="M832" s="57" t="s">
        <v>2824</v>
      </c>
      <c r="N832" s="179">
        <v>3</v>
      </c>
      <c r="O832" s="179"/>
      <c r="P832" s="183" t="s">
        <v>2858</v>
      </c>
      <c r="Q832" s="84"/>
      <c r="R832" s="190"/>
      <c r="S832" s="184"/>
    </row>
    <row r="833" spans="1:19" ht="34.5" customHeight="1">
      <c r="A833" s="185" t="s">
        <v>2859</v>
      </c>
      <c r="B833" s="178" t="s">
        <v>53</v>
      </c>
      <c r="C833" s="178" t="s">
        <v>71</v>
      </c>
      <c r="D833" s="179" t="s">
        <v>39</v>
      </c>
      <c r="E833" s="180">
        <v>45569</v>
      </c>
      <c r="F833" s="180">
        <v>45629</v>
      </c>
      <c r="G833" s="178" t="s">
        <v>71</v>
      </c>
      <c r="H833" s="179" t="s">
        <v>2156</v>
      </c>
      <c r="I833" s="179" t="s">
        <v>2860</v>
      </c>
      <c r="J833" s="178" t="s">
        <v>1308</v>
      </c>
      <c r="K833" s="181" t="s">
        <v>2861</v>
      </c>
      <c r="L833" s="183" t="s">
        <v>2862</v>
      </c>
      <c r="M833" s="57" t="s">
        <v>2824</v>
      </c>
      <c r="N833" s="179">
        <v>3</v>
      </c>
      <c r="O833" s="179"/>
      <c r="P833" s="183" t="s">
        <v>2863</v>
      </c>
      <c r="Q833" s="84"/>
      <c r="R833" s="190"/>
      <c r="S833" s="184"/>
    </row>
    <row r="834" spans="1:19" ht="34.5" customHeight="1">
      <c r="A834" s="185" t="s">
        <v>2864</v>
      </c>
      <c r="B834" s="178" t="s">
        <v>53</v>
      </c>
      <c r="C834" s="178" t="s">
        <v>71</v>
      </c>
      <c r="D834" s="179" t="s">
        <v>39</v>
      </c>
      <c r="E834" s="180">
        <v>45603</v>
      </c>
      <c r="F834" s="180">
        <v>45633</v>
      </c>
      <c r="G834" s="178" t="s">
        <v>71</v>
      </c>
      <c r="H834" s="179" t="s">
        <v>2865</v>
      </c>
      <c r="I834" s="179" t="s">
        <v>2860</v>
      </c>
      <c r="J834" s="178" t="s">
        <v>1308</v>
      </c>
      <c r="K834" s="181" t="s">
        <v>2866</v>
      </c>
      <c r="L834" s="183" t="s">
        <v>2867</v>
      </c>
      <c r="M834" s="57" t="s">
        <v>2741</v>
      </c>
      <c r="N834" s="179">
        <v>3</v>
      </c>
      <c r="O834" s="179"/>
      <c r="P834" s="183" t="s">
        <v>2868</v>
      </c>
      <c r="Q834" s="84"/>
      <c r="R834" s="190"/>
      <c r="S834" s="184"/>
    </row>
    <row r="835" spans="1:19" ht="62.45" customHeight="1">
      <c r="A835" s="185" t="s">
        <v>2869</v>
      </c>
      <c r="B835" s="178" t="s">
        <v>53</v>
      </c>
      <c r="C835" s="178" t="s">
        <v>71</v>
      </c>
      <c r="D835" s="179" t="s">
        <v>39</v>
      </c>
      <c r="E835" s="180">
        <v>45569</v>
      </c>
      <c r="F835" s="180">
        <v>45599</v>
      </c>
      <c r="G835" s="178" t="s">
        <v>71</v>
      </c>
      <c r="H835" s="179" t="s">
        <v>2870</v>
      </c>
      <c r="I835" s="179" t="s">
        <v>2871</v>
      </c>
      <c r="J835" s="178" t="s">
        <v>1378</v>
      </c>
      <c r="K835" s="181" t="s">
        <v>2872</v>
      </c>
      <c r="L835" s="183" t="s">
        <v>2873</v>
      </c>
      <c r="M835" s="57" t="s">
        <v>2741</v>
      </c>
      <c r="N835" s="179">
        <v>3</v>
      </c>
      <c r="O835" s="179"/>
      <c r="P835" s="183" t="s">
        <v>2874</v>
      </c>
      <c r="Q835" s="84"/>
      <c r="R835" s="190"/>
      <c r="S835" s="184"/>
    </row>
    <row r="836" spans="1:19" ht="48.2" customHeight="1">
      <c r="A836" s="185" t="s">
        <v>2875</v>
      </c>
      <c r="B836" s="178" t="s">
        <v>53</v>
      </c>
      <c r="C836" s="178" t="s">
        <v>71</v>
      </c>
      <c r="D836" s="179" t="s">
        <v>39</v>
      </c>
      <c r="E836" s="180">
        <v>45572</v>
      </c>
      <c r="F836" s="180">
        <v>45603</v>
      </c>
      <c r="G836" s="178" t="s">
        <v>71</v>
      </c>
      <c r="H836" s="179" t="s">
        <v>2876</v>
      </c>
      <c r="I836" s="179" t="s">
        <v>2877</v>
      </c>
      <c r="J836" s="178" t="s">
        <v>1570</v>
      </c>
      <c r="K836" s="181" t="s">
        <v>2878</v>
      </c>
      <c r="L836" s="183" t="s">
        <v>2879</v>
      </c>
      <c r="M836" s="57" t="s">
        <v>2741</v>
      </c>
      <c r="N836" s="179">
        <v>3</v>
      </c>
      <c r="O836" s="179"/>
      <c r="P836" s="183" t="s">
        <v>2880</v>
      </c>
      <c r="Q836" s="84"/>
      <c r="R836" s="190"/>
      <c r="S836" s="184"/>
    </row>
    <row r="837" spans="1:19" ht="34.5" hidden="1" customHeight="1">
      <c r="A837" s="185" t="s">
        <v>2881</v>
      </c>
      <c r="B837" s="178" t="s">
        <v>47</v>
      </c>
      <c r="C837" s="178" t="s">
        <v>886</v>
      </c>
      <c r="D837" s="179" t="s">
        <v>39</v>
      </c>
      <c r="E837" s="180">
        <v>45573</v>
      </c>
      <c r="F837" s="180">
        <v>45633</v>
      </c>
      <c r="G837" s="178" t="s">
        <v>71</v>
      </c>
      <c r="H837" s="179" t="s">
        <v>2882</v>
      </c>
      <c r="I837" s="179" t="s">
        <v>2883</v>
      </c>
      <c r="J837" s="178" t="s">
        <v>56</v>
      </c>
      <c r="K837" s="181" t="s">
        <v>2884</v>
      </c>
      <c r="L837" s="183" t="s">
        <v>2885</v>
      </c>
      <c r="M837" s="57" t="s">
        <v>2886</v>
      </c>
      <c r="N837" s="179">
        <v>3</v>
      </c>
      <c r="O837" s="179"/>
      <c r="P837" s="183" t="s">
        <v>2887</v>
      </c>
      <c r="Q837" s="84"/>
      <c r="R837" s="190"/>
      <c r="S837" s="184"/>
    </row>
    <row r="838" spans="1:19" ht="50.25" customHeight="1">
      <c r="A838" s="185" t="s">
        <v>2888</v>
      </c>
      <c r="B838" s="178" t="s">
        <v>53</v>
      </c>
      <c r="C838" s="178" t="s">
        <v>71</v>
      </c>
      <c r="D838" s="179" t="s">
        <v>39</v>
      </c>
      <c r="E838" s="180">
        <v>45573</v>
      </c>
      <c r="F838" s="180">
        <v>45604</v>
      </c>
      <c r="G838" s="178" t="s">
        <v>71</v>
      </c>
      <c r="H838" s="179" t="s">
        <v>2889</v>
      </c>
      <c r="I838" s="179" t="s">
        <v>2890</v>
      </c>
      <c r="J838" s="178" t="s">
        <v>56</v>
      </c>
      <c r="K838" s="181" t="s">
        <v>2891</v>
      </c>
      <c r="L838" s="183" t="s">
        <v>2892</v>
      </c>
      <c r="M838" s="57" t="s">
        <v>2741</v>
      </c>
      <c r="N838" s="179">
        <v>3</v>
      </c>
      <c r="O838" s="179"/>
      <c r="P838" s="183" t="s">
        <v>2893</v>
      </c>
      <c r="Q838" s="84"/>
      <c r="R838" s="190"/>
      <c r="S838" s="184"/>
    </row>
    <row r="839" spans="1:19" ht="47.25" customHeight="1">
      <c r="A839" s="185" t="s">
        <v>2894</v>
      </c>
      <c r="B839" s="178" t="s">
        <v>53</v>
      </c>
      <c r="C839" s="178" t="s">
        <v>71</v>
      </c>
      <c r="D839" s="179" t="s">
        <v>39</v>
      </c>
      <c r="E839" s="180">
        <v>45573</v>
      </c>
      <c r="F839" s="180">
        <v>45604</v>
      </c>
      <c r="G839" s="178" t="s">
        <v>71</v>
      </c>
      <c r="H839" s="179" t="s">
        <v>2895</v>
      </c>
      <c r="I839" s="179" t="s">
        <v>2896</v>
      </c>
      <c r="J839" s="178" t="s">
        <v>56</v>
      </c>
      <c r="K839" s="181" t="s">
        <v>2897</v>
      </c>
      <c r="L839" s="183" t="s">
        <v>2898</v>
      </c>
      <c r="M839" s="57" t="s">
        <v>2741</v>
      </c>
      <c r="N839" s="179">
        <v>3</v>
      </c>
      <c r="O839" s="179"/>
      <c r="P839" s="183" t="s">
        <v>2899</v>
      </c>
      <c r="Q839" s="84"/>
      <c r="R839" s="190"/>
      <c r="S839" s="184"/>
    </row>
    <row r="840" spans="1:19" ht="57.75" customHeight="1">
      <c r="A840" s="185" t="s">
        <v>2900</v>
      </c>
      <c r="B840" s="178" t="s">
        <v>53</v>
      </c>
      <c r="C840" s="178" t="s">
        <v>71</v>
      </c>
      <c r="D840" s="179" t="s">
        <v>39</v>
      </c>
      <c r="E840" s="180">
        <v>45574</v>
      </c>
      <c r="F840" s="180">
        <v>45605</v>
      </c>
      <c r="G840" s="178" t="s">
        <v>71</v>
      </c>
      <c r="H840" s="168" t="s">
        <v>2901</v>
      </c>
      <c r="I840" s="179" t="s">
        <v>2902</v>
      </c>
      <c r="J840" s="178" t="s">
        <v>253</v>
      </c>
      <c r="K840" s="181" t="s">
        <v>2903</v>
      </c>
      <c r="L840" s="183" t="s">
        <v>2904</v>
      </c>
      <c r="M840" s="57" t="s">
        <v>2741</v>
      </c>
      <c r="N840" s="179">
        <v>3</v>
      </c>
      <c r="O840" s="179"/>
      <c r="P840" s="183" t="s">
        <v>2905</v>
      </c>
      <c r="Q840" s="84"/>
      <c r="R840" s="190"/>
      <c r="S840" s="184"/>
    </row>
    <row r="841" spans="1:19" ht="34.5" hidden="1" customHeight="1">
      <c r="A841" s="185" t="s">
        <v>2906</v>
      </c>
      <c r="B841" s="178" t="s">
        <v>38</v>
      </c>
      <c r="C841" s="178" t="s">
        <v>108</v>
      </c>
      <c r="D841" s="179" t="s">
        <v>39</v>
      </c>
      <c r="E841" s="180">
        <v>45567</v>
      </c>
      <c r="F841" s="180">
        <v>45598</v>
      </c>
      <c r="G841" s="178" t="s">
        <v>108</v>
      </c>
      <c r="H841" s="179" t="s">
        <v>2907</v>
      </c>
      <c r="I841" s="179" t="s">
        <v>2795</v>
      </c>
      <c r="J841" s="178" t="s">
        <v>56</v>
      </c>
      <c r="K841" s="181" t="s">
        <v>2908</v>
      </c>
      <c r="L841" s="183" t="s">
        <v>2909</v>
      </c>
      <c r="M841" s="57" t="s">
        <v>2735</v>
      </c>
      <c r="N841" s="179">
        <v>3</v>
      </c>
      <c r="O841" s="179" t="s">
        <v>45</v>
      </c>
      <c r="P841" s="183" t="s">
        <v>2910</v>
      </c>
      <c r="Q841" s="84" t="s">
        <v>776</v>
      </c>
      <c r="R841" s="190" t="s">
        <v>2772</v>
      </c>
      <c r="S841" s="184"/>
    </row>
    <row r="842" spans="1:19" ht="34.5" customHeight="1">
      <c r="A842" s="185" t="s">
        <v>2911</v>
      </c>
      <c r="B842" s="178" t="s">
        <v>53</v>
      </c>
      <c r="C842" s="178" t="s">
        <v>71</v>
      </c>
      <c r="D842" s="179" t="s">
        <v>39</v>
      </c>
      <c r="E842" s="180">
        <v>45580</v>
      </c>
      <c r="F842" s="180">
        <v>45641</v>
      </c>
      <c r="G842" s="178" t="s">
        <v>71</v>
      </c>
      <c r="H842" s="179" t="s">
        <v>2156</v>
      </c>
      <c r="I842" s="179" t="s">
        <v>2912</v>
      </c>
      <c r="J842" s="178" t="s">
        <v>56</v>
      </c>
      <c r="K842" s="181" t="s">
        <v>2913</v>
      </c>
      <c r="L842" s="183" t="s">
        <v>2914</v>
      </c>
      <c r="M842" s="57" t="s">
        <v>2824</v>
      </c>
      <c r="N842" s="179">
        <v>3</v>
      </c>
      <c r="O842" s="179"/>
      <c r="P842" s="183" t="s">
        <v>2915</v>
      </c>
      <c r="Q842" s="84"/>
      <c r="R842" s="190"/>
      <c r="S842" s="184"/>
    </row>
    <row r="843" spans="1:19" ht="54" customHeight="1">
      <c r="A843" s="185" t="s">
        <v>2916</v>
      </c>
      <c r="B843" s="178" t="s">
        <v>53</v>
      </c>
      <c r="C843" s="178" t="s">
        <v>71</v>
      </c>
      <c r="D843" s="179" t="s">
        <v>39</v>
      </c>
      <c r="E843" s="180">
        <v>45580</v>
      </c>
      <c r="F843" s="180">
        <v>45641</v>
      </c>
      <c r="G843" s="178" t="s">
        <v>71</v>
      </c>
      <c r="H843" s="168" t="s">
        <v>2917</v>
      </c>
      <c r="I843" s="179" t="s">
        <v>2918</v>
      </c>
      <c r="J843" s="178" t="s">
        <v>56</v>
      </c>
      <c r="K843" s="181" t="s">
        <v>2919</v>
      </c>
      <c r="L843" s="183" t="s">
        <v>2920</v>
      </c>
      <c r="M843" s="57" t="s">
        <v>2824</v>
      </c>
      <c r="N843" s="179">
        <v>3</v>
      </c>
      <c r="O843" s="179"/>
      <c r="P843" s="183" t="s">
        <v>2921</v>
      </c>
      <c r="Q843" s="84"/>
      <c r="R843" s="190"/>
      <c r="S843" s="184"/>
    </row>
    <row r="844" spans="1:19" ht="119.25" customHeight="1">
      <c r="A844" s="185" t="s">
        <v>2922</v>
      </c>
      <c r="B844" s="178" t="s">
        <v>53</v>
      </c>
      <c r="C844" s="178" t="s">
        <v>71</v>
      </c>
      <c r="D844" s="179" t="s">
        <v>39</v>
      </c>
      <c r="E844" s="180">
        <v>45580</v>
      </c>
      <c r="F844" s="180">
        <v>45641</v>
      </c>
      <c r="G844" s="178" t="s">
        <v>71</v>
      </c>
      <c r="H844" s="168" t="s">
        <v>2923</v>
      </c>
      <c r="I844" s="179" t="s">
        <v>2924</v>
      </c>
      <c r="J844" s="178" t="s">
        <v>56</v>
      </c>
      <c r="K844" s="66" t="s">
        <v>2925</v>
      </c>
      <c r="L844" s="183" t="s">
        <v>2926</v>
      </c>
      <c r="M844" s="57" t="s">
        <v>2741</v>
      </c>
      <c r="N844" s="179">
        <v>3</v>
      </c>
      <c r="O844" s="179"/>
      <c r="P844" s="183" t="s">
        <v>2927</v>
      </c>
      <c r="Q844" s="84"/>
      <c r="R844" s="190"/>
      <c r="S844" s="184"/>
    </row>
    <row r="845" spans="1:19" ht="69" customHeight="1">
      <c r="A845" s="185" t="s">
        <v>2928</v>
      </c>
      <c r="B845" s="178" t="s">
        <v>53</v>
      </c>
      <c r="C845" s="178" t="s">
        <v>71</v>
      </c>
      <c r="D845" s="179" t="s">
        <v>39</v>
      </c>
      <c r="E845" s="180">
        <v>45580</v>
      </c>
      <c r="F845" s="180">
        <v>45641</v>
      </c>
      <c r="G845" s="178" t="s">
        <v>71</v>
      </c>
      <c r="H845" s="179" t="s">
        <v>2895</v>
      </c>
      <c r="I845" s="179" t="s">
        <v>2929</v>
      </c>
      <c r="J845" s="178" t="s">
        <v>56</v>
      </c>
      <c r="K845" s="181" t="s">
        <v>2930</v>
      </c>
      <c r="L845" s="183" t="s">
        <v>2931</v>
      </c>
      <c r="M845" s="57" t="s">
        <v>2741</v>
      </c>
      <c r="N845" s="179">
        <v>3</v>
      </c>
      <c r="O845" s="179"/>
      <c r="P845" s="183" t="s">
        <v>2932</v>
      </c>
      <c r="Q845" s="84"/>
      <c r="R845" s="190"/>
      <c r="S845" s="184"/>
    </row>
    <row r="846" spans="1:19" ht="135" customHeight="1">
      <c r="A846" s="185" t="s">
        <v>2933</v>
      </c>
      <c r="B846" s="178" t="s">
        <v>53</v>
      </c>
      <c r="C846" s="178" t="s">
        <v>71</v>
      </c>
      <c r="D846" s="179" t="s">
        <v>39</v>
      </c>
      <c r="E846" s="180">
        <v>45581</v>
      </c>
      <c r="F846" s="180">
        <v>45642</v>
      </c>
      <c r="G846" s="178" t="s">
        <v>71</v>
      </c>
      <c r="H846" s="179" t="s">
        <v>2934</v>
      </c>
      <c r="I846" s="179" t="s">
        <v>2935</v>
      </c>
      <c r="J846" s="178" t="s">
        <v>1570</v>
      </c>
      <c r="K846" s="181" t="s">
        <v>2936</v>
      </c>
      <c r="L846" s="183" t="s">
        <v>2937</v>
      </c>
      <c r="M846" s="57" t="s">
        <v>2741</v>
      </c>
      <c r="N846" s="179">
        <v>3</v>
      </c>
      <c r="O846" s="187"/>
      <c r="P846" s="188" t="s">
        <v>2938</v>
      </c>
      <c r="Q846" s="84"/>
      <c r="R846" s="190"/>
      <c r="S846" s="184"/>
    </row>
    <row r="847" spans="1:19" ht="34.5" customHeight="1">
      <c r="A847" s="185" t="s">
        <v>2939</v>
      </c>
      <c r="B847" s="178" t="s">
        <v>53</v>
      </c>
      <c r="C847" s="178" t="s">
        <v>71</v>
      </c>
      <c r="D847" s="179" t="s">
        <v>39</v>
      </c>
      <c r="E847" s="180">
        <v>45586</v>
      </c>
      <c r="F847" s="180">
        <v>45647</v>
      </c>
      <c r="G847" s="178" t="s">
        <v>71</v>
      </c>
      <c r="H847" s="168" t="s">
        <v>2940</v>
      </c>
      <c r="I847" s="179" t="s">
        <v>1922</v>
      </c>
      <c r="J847" s="178" t="s">
        <v>56</v>
      </c>
      <c r="K847" s="181" t="s">
        <v>2941</v>
      </c>
      <c r="L847" s="183" t="s">
        <v>2942</v>
      </c>
      <c r="M847" s="57" t="s">
        <v>2824</v>
      </c>
      <c r="N847" s="179">
        <v>3</v>
      </c>
      <c r="O847" s="179"/>
      <c r="P847" s="183" t="s">
        <v>2943</v>
      </c>
      <c r="Q847" s="84"/>
      <c r="R847" s="190"/>
      <c r="S847" s="184"/>
    </row>
    <row r="848" spans="1:19" ht="34.5" customHeight="1">
      <c r="A848" s="185" t="s">
        <v>2944</v>
      </c>
      <c r="B848" s="178" t="s">
        <v>53</v>
      </c>
      <c r="C848" s="178" t="s">
        <v>2945</v>
      </c>
      <c r="D848" s="179" t="s">
        <v>39</v>
      </c>
      <c r="E848" s="180">
        <v>45586</v>
      </c>
      <c r="F848" s="180">
        <v>45647</v>
      </c>
      <c r="G848" s="178" t="s">
        <v>886</v>
      </c>
      <c r="H848" s="168" t="s">
        <v>2946</v>
      </c>
      <c r="I848" s="179" t="s">
        <v>1922</v>
      </c>
      <c r="J848" s="178" t="s">
        <v>56</v>
      </c>
      <c r="K848" s="181" t="s">
        <v>2947</v>
      </c>
      <c r="L848" s="183" t="s">
        <v>2948</v>
      </c>
      <c r="M848" s="57" t="s">
        <v>2824</v>
      </c>
      <c r="N848" s="179">
        <v>7</v>
      </c>
      <c r="O848" s="179"/>
      <c r="P848" s="183" t="s">
        <v>2949</v>
      </c>
      <c r="Q848" s="84"/>
      <c r="R848" s="190"/>
      <c r="S848" s="184"/>
    </row>
    <row r="849" spans="1:19" ht="34.5" customHeight="1">
      <c r="A849" s="185" t="s">
        <v>2950</v>
      </c>
      <c r="B849" s="178" t="s">
        <v>53</v>
      </c>
      <c r="C849" s="178" t="s">
        <v>71</v>
      </c>
      <c r="D849" s="179" t="s">
        <v>39</v>
      </c>
      <c r="E849" s="180">
        <v>45587</v>
      </c>
      <c r="F849" s="180">
        <v>45648</v>
      </c>
      <c r="G849" s="178" t="s">
        <v>71</v>
      </c>
      <c r="H849" s="168" t="s">
        <v>324</v>
      </c>
      <c r="I849" s="179" t="s">
        <v>2951</v>
      </c>
      <c r="J849" s="178" t="s">
        <v>56</v>
      </c>
      <c r="K849" s="181" t="s">
        <v>2952</v>
      </c>
      <c r="L849" s="183" t="s">
        <v>2953</v>
      </c>
      <c r="M849" s="57" t="s">
        <v>2741</v>
      </c>
      <c r="N849" s="179">
        <v>3</v>
      </c>
      <c r="O849" s="179"/>
      <c r="P849" s="183" t="s">
        <v>2954</v>
      </c>
      <c r="Q849" s="84"/>
      <c r="R849" s="190"/>
      <c r="S849" s="184"/>
    </row>
    <row r="850" spans="1:19" ht="34.5" customHeight="1">
      <c r="A850" s="185" t="s">
        <v>2955</v>
      </c>
      <c r="B850" s="178" t="s">
        <v>53</v>
      </c>
      <c r="C850" s="178" t="s">
        <v>71</v>
      </c>
      <c r="D850" s="179" t="s">
        <v>39</v>
      </c>
      <c r="E850" s="180">
        <v>45589</v>
      </c>
      <c r="F850" s="180">
        <v>45650</v>
      </c>
      <c r="G850" s="178" t="s">
        <v>71</v>
      </c>
      <c r="H850" s="168" t="s">
        <v>2156</v>
      </c>
      <c r="I850" s="179" t="s">
        <v>1922</v>
      </c>
      <c r="J850" s="178" t="s">
        <v>56</v>
      </c>
      <c r="K850" s="181" t="s">
        <v>2956</v>
      </c>
      <c r="L850" s="183" t="s">
        <v>2957</v>
      </c>
      <c r="M850" s="57" t="s">
        <v>2824</v>
      </c>
      <c r="N850" s="179">
        <v>3</v>
      </c>
      <c r="O850" s="179"/>
      <c r="P850" s="183" t="s">
        <v>2958</v>
      </c>
      <c r="Q850" s="84"/>
      <c r="R850" s="190"/>
      <c r="S850" s="184"/>
    </row>
    <row r="851" spans="1:19" ht="52.5" customHeight="1">
      <c r="A851" s="185" t="s">
        <v>2959</v>
      </c>
      <c r="B851" s="178" t="s">
        <v>53</v>
      </c>
      <c r="C851" s="178" t="s">
        <v>71</v>
      </c>
      <c r="D851" s="179" t="s">
        <v>39</v>
      </c>
      <c r="E851" s="180">
        <v>45589</v>
      </c>
      <c r="F851" s="180">
        <v>45650</v>
      </c>
      <c r="G851" s="178" t="s">
        <v>71</v>
      </c>
      <c r="H851" s="168" t="s">
        <v>2702</v>
      </c>
      <c r="I851" s="179" t="s">
        <v>2960</v>
      </c>
      <c r="J851" s="178" t="s">
        <v>56</v>
      </c>
      <c r="K851" s="181" t="s">
        <v>2961</v>
      </c>
      <c r="L851" s="183" t="s">
        <v>2962</v>
      </c>
      <c r="M851" s="57" t="s">
        <v>2741</v>
      </c>
      <c r="N851" s="179">
        <v>3</v>
      </c>
      <c r="O851" s="179"/>
      <c r="P851" s="183" t="s">
        <v>2963</v>
      </c>
      <c r="Q851" s="84"/>
      <c r="R851" s="190"/>
      <c r="S851" s="184"/>
    </row>
    <row r="852" spans="1:19" ht="34.5" customHeight="1">
      <c r="A852" s="185" t="s">
        <v>2964</v>
      </c>
      <c r="B852" s="178" t="s">
        <v>53</v>
      </c>
      <c r="C852" s="178" t="s">
        <v>71</v>
      </c>
      <c r="D852" s="179" t="s">
        <v>39</v>
      </c>
      <c r="E852" s="180">
        <v>45594</v>
      </c>
      <c r="F852" s="180">
        <v>45655</v>
      </c>
      <c r="G852" s="178" t="s">
        <v>71</v>
      </c>
      <c r="H852" s="168" t="s">
        <v>2965</v>
      </c>
      <c r="I852" s="179" t="s">
        <v>2966</v>
      </c>
      <c r="J852" s="178" t="s">
        <v>56</v>
      </c>
      <c r="K852" s="181" t="s">
        <v>2967</v>
      </c>
      <c r="L852" s="183" t="s">
        <v>2968</v>
      </c>
      <c r="M852" s="57" t="s">
        <v>2824</v>
      </c>
      <c r="N852" s="179">
        <v>3</v>
      </c>
      <c r="O852" s="179"/>
      <c r="P852" s="183" t="s">
        <v>2969</v>
      </c>
      <c r="Q852" s="84"/>
      <c r="R852" s="190"/>
      <c r="S852" s="184"/>
    </row>
    <row r="853" spans="1:19" ht="34.5" customHeight="1">
      <c r="A853" s="185" t="s">
        <v>2970</v>
      </c>
      <c r="B853" s="178" t="s">
        <v>53</v>
      </c>
      <c r="C853" s="178" t="s">
        <v>71</v>
      </c>
      <c r="D853" s="179" t="s">
        <v>39</v>
      </c>
      <c r="E853" s="180">
        <v>45594</v>
      </c>
      <c r="F853" s="180">
        <v>45655</v>
      </c>
      <c r="G853" s="178" t="s">
        <v>71</v>
      </c>
      <c r="H853" s="168" t="s">
        <v>2971</v>
      </c>
      <c r="I853" s="179" t="s">
        <v>2966</v>
      </c>
      <c r="J853" s="178" t="s">
        <v>56</v>
      </c>
      <c r="K853" s="181" t="s">
        <v>2972</v>
      </c>
      <c r="L853" s="183" t="s">
        <v>2973</v>
      </c>
      <c r="M853" s="57" t="s">
        <v>2741</v>
      </c>
      <c r="N853" s="179">
        <v>3</v>
      </c>
      <c r="O853" s="179"/>
      <c r="P853" s="183" t="s">
        <v>2974</v>
      </c>
      <c r="Q853" s="84"/>
      <c r="R853" s="190"/>
      <c r="S853" s="184"/>
    </row>
    <row r="854" spans="1:19" ht="34.5" customHeight="1">
      <c r="A854" s="185" t="s">
        <v>2975</v>
      </c>
      <c r="B854" s="178" t="s">
        <v>53</v>
      </c>
      <c r="C854" s="178" t="s">
        <v>71</v>
      </c>
      <c r="D854" s="179" t="s">
        <v>39</v>
      </c>
      <c r="E854" s="180">
        <v>45594</v>
      </c>
      <c r="F854" s="180">
        <v>45655</v>
      </c>
      <c r="G854" s="178" t="s">
        <v>71</v>
      </c>
      <c r="H854" s="168" t="s">
        <v>2393</v>
      </c>
      <c r="I854" s="179" t="s">
        <v>2539</v>
      </c>
      <c r="J854" s="178" t="s">
        <v>1378</v>
      </c>
      <c r="K854" s="181" t="s">
        <v>2976</v>
      </c>
      <c r="L854" s="183" t="s">
        <v>2977</v>
      </c>
      <c r="M854" s="57" t="s">
        <v>2741</v>
      </c>
      <c r="N854" s="179">
        <v>3</v>
      </c>
      <c r="O854" s="179"/>
      <c r="P854" s="183" t="s">
        <v>2978</v>
      </c>
      <c r="Q854" s="84"/>
      <c r="R854" s="190"/>
      <c r="S854" s="184"/>
    </row>
    <row r="855" spans="1:19" ht="34.5" customHeight="1">
      <c r="A855" s="185" t="s">
        <v>2979</v>
      </c>
      <c r="B855" s="178" t="s">
        <v>53</v>
      </c>
      <c r="C855" s="178" t="s">
        <v>71</v>
      </c>
      <c r="D855" s="179" t="s">
        <v>39</v>
      </c>
      <c r="E855" s="180">
        <v>45595</v>
      </c>
      <c r="F855" s="180">
        <v>45656</v>
      </c>
      <c r="G855" s="178" t="s">
        <v>71</v>
      </c>
      <c r="H855" s="168" t="s">
        <v>2980</v>
      </c>
      <c r="I855" s="179" t="s">
        <v>2912</v>
      </c>
      <c r="J855" s="178" t="s">
        <v>56</v>
      </c>
      <c r="K855" s="181" t="s">
        <v>2981</v>
      </c>
      <c r="L855" s="183" t="s">
        <v>2982</v>
      </c>
      <c r="M855" s="57" t="s">
        <v>2824</v>
      </c>
      <c r="N855" s="179">
        <v>3</v>
      </c>
      <c r="O855" s="179"/>
      <c r="P855" s="183" t="s">
        <v>2983</v>
      </c>
      <c r="Q855" s="84"/>
      <c r="R855" s="190"/>
      <c r="S855" s="184"/>
    </row>
    <row r="856" spans="1:19" ht="34.5" customHeight="1">
      <c r="A856" s="185" t="s">
        <v>2984</v>
      </c>
      <c r="B856" s="178" t="s">
        <v>53</v>
      </c>
      <c r="C856" s="178" t="s">
        <v>71</v>
      </c>
      <c r="D856" s="179" t="s">
        <v>39</v>
      </c>
      <c r="E856" s="180">
        <v>45595</v>
      </c>
      <c r="F856" s="180">
        <v>45656</v>
      </c>
      <c r="G856" s="178" t="s">
        <v>71</v>
      </c>
      <c r="H856" s="168" t="s">
        <v>2985</v>
      </c>
      <c r="I856" s="179" t="s">
        <v>2986</v>
      </c>
      <c r="J856" s="178" t="s">
        <v>56</v>
      </c>
      <c r="K856" s="181" t="s">
        <v>2987</v>
      </c>
      <c r="L856" s="183" t="s">
        <v>2988</v>
      </c>
      <c r="M856" s="57" t="s">
        <v>2741</v>
      </c>
      <c r="N856" s="179">
        <v>3</v>
      </c>
      <c r="O856" s="179"/>
      <c r="P856" s="183" t="s">
        <v>2989</v>
      </c>
      <c r="Q856" s="84"/>
      <c r="R856" s="190"/>
      <c r="S856" s="184"/>
    </row>
    <row r="857" spans="1:19" ht="34.5" hidden="1" customHeight="1">
      <c r="A857" s="185" t="s">
        <v>2990</v>
      </c>
      <c r="B857" s="178" t="s">
        <v>38</v>
      </c>
      <c r="C857" s="178" t="s">
        <v>71</v>
      </c>
      <c r="D857" s="179" t="s">
        <v>39</v>
      </c>
      <c r="E857" s="180">
        <v>45595</v>
      </c>
      <c r="F857" s="180">
        <v>45656</v>
      </c>
      <c r="G857" s="178" t="s">
        <v>71</v>
      </c>
      <c r="H857" s="168" t="s">
        <v>2991</v>
      </c>
      <c r="I857" s="179" t="s">
        <v>679</v>
      </c>
      <c r="J857" s="178" t="s">
        <v>56</v>
      </c>
      <c r="K857" s="181" t="s">
        <v>2992</v>
      </c>
      <c r="L857" s="182" t="s">
        <v>2993</v>
      </c>
      <c r="M857" s="57" t="s">
        <v>2994</v>
      </c>
      <c r="N857" s="179">
        <v>3</v>
      </c>
      <c r="O857" s="179" t="s">
        <v>45</v>
      </c>
      <c r="P857" s="183" t="s">
        <v>2995</v>
      </c>
      <c r="Q857" s="84" t="s">
        <v>776</v>
      </c>
      <c r="R857" s="190">
        <v>45671</v>
      </c>
      <c r="S857" s="184"/>
    </row>
    <row r="858" spans="1:19" ht="44.45" customHeight="1">
      <c r="A858" s="185" t="s">
        <v>2996</v>
      </c>
      <c r="B858" s="178" t="s">
        <v>53</v>
      </c>
      <c r="C858" s="178" t="s">
        <v>71</v>
      </c>
      <c r="D858" s="179" t="s">
        <v>39</v>
      </c>
      <c r="E858" s="180">
        <v>45596</v>
      </c>
      <c r="F858" s="180">
        <v>45657</v>
      </c>
      <c r="G858" s="178" t="s">
        <v>71</v>
      </c>
      <c r="H858" s="168" t="s">
        <v>2381</v>
      </c>
      <c r="I858" s="179" t="s">
        <v>2997</v>
      </c>
      <c r="J858" s="178" t="s">
        <v>56</v>
      </c>
      <c r="K858" s="181" t="s">
        <v>2998</v>
      </c>
      <c r="L858" s="183" t="s">
        <v>2999</v>
      </c>
      <c r="M858" s="57" t="s">
        <v>2824</v>
      </c>
      <c r="N858" s="179">
        <v>3</v>
      </c>
      <c r="O858" s="179"/>
      <c r="P858" s="183" t="s">
        <v>3000</v>
      </c>
      <c r="Q858" s="84"/>
      <c r="R858" s="190"/>
      <c r="S858" s="184"/>
    </row>
    <row r="859" spans="1:19" ht="44.45" customHeight="1">
      <c r="A859" s="185" t="s">
        <v>3001</v>
      </c>
      <c r="B859" s="178" t="s">
        <v>53</v>
      </c>
      <c r="C859" s="178" t="s">
        <v>71</v>
      </c>
      <c r="D859" s="179" t="s">
        <v>39</v>
      </c>
      <c r="E859" s="180">
        <v>45597</v>
      </c>
      <c r="F859" s="180">
        <v>45658</v>
      </c>
      <c r="G859" s="178" t="s">
        <v>71</v>
      </c>
      <c r="H859" s="168" t="s">
        <v>2434</v>
      </c>
      <c r="I859" s="179" t="s">
        <v>1941</v>
      </c>
      <c r="J859" s="178" t="s">
        <v>56</v>
      </c>
      <c r="K859" s="181" t="s">
        <v>3002</v>
      </c>
      <c r="L859" s="183" t="s">
        <v>3003</v>
      </c>
      <c r="M859" s="57" t="s">
        <v>2741</v>
      </c>
      <c r="N859" s="179">
        <v>3</v>
      </c>
      <c r="O859" s="179"/>
      <c r="P859" s="183" t="s">
        <v>3004</v>
      </c>
      <c r="Q859" s="84"/>
      <c r="R859" s="190"/>
      <c r="S859" s="184"/>
    </row>
    <row r="860" spans="1:19" ht="44.45" customHeight="1">
      <c r="A860" s="185" t="s">
        <v>3005</v>
      </c>
      <c r="B860" s="178" t="s">
        <v>53</v>
      </c>
      <c r="C860" s="178" t="s">
        <v>71</v>
      </c>
      <c r="D860" s="179" t="s">
        <v>39</v>
      </c>
      <c r="E860" s="180">
        <v>45602</v>
      </c>
      <c r="F860" s="180">
        <v>45663</v>
      </c>
      <c r="G860" s="178" t="s">
        <v>71</v>
      </c>
      <c r="H860" s="168" t="s">
        <v>3006</v>
      </c>
      <c r="I860" s="179" t="s">
        <v>3007</v>
      </c>
      <c r="J860" s="178" t="s">
        <v>56</v>
      </c>
      <c r="K860" s="181" t="s">
        <v>3008</v>
      </c>
      <c r="L860" s="183" t="s">
        <v>3009</v>
      </c>
      <c r="M860" s="57" t="s">
        <v>2824</v>
      </c>
      <c r="N860" s="179">
        <v>3</v>
      </c>
      <c r="O860" s="179"/>
      <c r="P860" s="183" t="s">
        <v>3010</v>
      </c>
      <c r="Q860" s="84"/>
      <c r="R860" s="190"/>
      <c r="S860" s="184"/>
    </row>
    <row r="861" spans="1:19" ht="44.45" hidden="1" customHeight="1">
      <c r="A861" s="185" t="s">
        <v>3011</v>
      </c>
      <c r="B861" s="178" t="s">
        <v>38</v>
      </c>
      <c r="C861" s="178" t="s">
        <v>71</v>
      </c>
      <c r="D861" s="179" t="s">
        <v>39</v>
      </c>
      <c r="E861" s="180">
        <v>45602</v>
      </c>
      <c r="F861" s="180">
        <v>45632</v>
      </c>
      <c r="G861" s="178" t="s">
        <v>71</v>
      </c>
      <c r="H861" s="168" t="s">
        <v>3012</v>
      </c>
      <c r="I861" s="179" t="s">
        <v>3013</v>
      </c>
      <c r="J861" s="178" t="s">
        <v>56</v>
      </c>
      <c r="K861" s="181" t="s">
        <v>3014</v>
      </c>
      <c r="L861" s="183" t="s">
        <v>3015</v>
      </c>
      <c r="M861" s="57" t="s">
        <v>2735</v>
      </c>
      <c r="N861" s="179">
        <v>3</v>
      </c>
      <c r="O861" s="179" t="s">
        <v>45</v>
      </c>
      <c r="P861" s="183" t="s">
        <v>3016</v>
      </c>
      <c r="Q861" s="84" t="s">
        <v>776</v>
      </c>
      <c r="R861" s="190">
        <v>45617</v>
      </c>
      <c r="S861" s="184"/>
    </row>
    <row r="862" spans="1:19" ht="95.25" customHeight="1">
      <c r="A862" s="185" t="s">
        <v>3017</v>
      </c>
      <c r="B862" s="178" t="s">
        <v>53</v>
      </c>
      <c r="C862" s="178" t="s">
        <v>71</v>
      </c>
      <c r="D862" s="179" t="s">
        <v>39</v>
      </c>
      <c r="E862" s="180">
        <v>45604</v>
      </c>
      <c r="F862" s="180">
        <v>45665</v>
      </c>
      <c r="G862" s="178" t="s">
        <v>71</v>
      </c>
      <c r="H862" s="168" t="s">
        <v>3018</v>
      </c>
      <c r="I862" s="179" t="s">
        <v>2220</v>
      </c>
      <c r="J862" s="178" t="s">
        <v>56</v>
      </c>
      <c r="K862" s="181" t="s">
        <v>3019</v>
      </c>
      <c r="L862" s="183" t="s">
        <v>3020</v>
      </c>
      <c r="M862" s="57" t="s">
        <v>2741</v>
      </c>
      <c r="N862" s="179">
        <v>3</v>
      </c>
      <c r="O862" s="179"/>
      <c r="P862" s="183" t="s">
        <v>3021</v>
      </c>
      <c r="Q862" s="84"/>
      <c r="R862" s="190"/>
      <c r="S862" s="184"/>
    </row>
    <row r="863" spans="1:19" ht="44.45" customHeight="1">
      <c r="A863" s="185" t="s">
        <v>3022</v>
      </c>
      <c r="B863" s="178" t="s">
        <v>53</v>
      </c>
      <c r="C863" s="178" t="s">
        <v>71</v>
      </c>
      <c r="D863" s="179" t="s">
        <v>39</v>
      </c>
      <c r="E863" s="180">
        <v>45609</v>
      </c>
      <c r="F863" s="180">
        <v>45669</v>
      </c>
      <c r="G863" s="178" t="s">
        <v>71</v>
      </c>
      <c r="H863" s="168" t="s">
        <v>2156</v>
      </c>
      <c r="I863" s="179" t="s">
        <v>3007</v>
      </c>
      <c r="J863" s="178" t="s">
        <v>56</v>
      </c>
      <c r="K863" s="181" t="s">
        <v>3023</v>
      </c>
      <c r="L863" s="183" t="s">
        <v>3024</v>
      </c>
      <c r="M863" s="57" t="s">
        <v>3025</v>
      </c>
      <c r="N863" s="179">
        <v>3</v>
      </c>
      <c r="O863" s="179"/>
      <c r="P863" s="183" t="s">
        <v>3026</v>
      </c>
      <c r="Q863" s="84"/>
      <c r="R863" s="190"/>
      <c r="S863" s="184"/>
    </row>
    <row r="864" spans="1:19" ht="44.45" customHeight="1">
      <c r="A864" s="185" t="s">
        <v>3027</v>
      </c>
      <c r="B864" s="178" t="s">
        <v>53</v>
      </c>
      <c r="C864" s="178" t="s">
        <v>71</v>
      </c>
      <c r="D864" s="179" t="s">
        <v>39</v>
      </c>
      <c r="E864" s="180">
        <v>45609</v>
      </c>
      <c r="F864" s="180">
        <v>45670</v>
      </c>
      <c r="G864" s="178" t="s">
        <v>71</v>
      </c>
      <c r="H864" s="168" t="s">
        <v>3028</v>
      </c>
      <c r="I864" s="179" t="s">
        <v>2346</v>
      </c>
      <c r="J864" s="178" t="s">
        <v>1712</v>
      </c>
      <c r="K864" s="181" t="s">
        <v>3029</v>
      </c>
      <c r="L864" s="183" t="s">
        <v>3030</v>
      </c>
      <c r="M864" s="57" t="s">
        <v>2741</v>
      </c>
      <c r="N864" s="179">
        <v>3</v>
      </c>
      <c r="O864" s="179"/>
      <c r="P864" s="183" t="s">
        <v>3031</v>
      </c>
      <c r="Q864" s="84"/>
      <c r="R864" s="190"/>
      <c r="S864" s="184"/>
    </row>
    <row r="865" spans="1:19" ht="44.45" hidden="1" customHeight="1">
      <c r="A865" s="185" t="s">
        <v>3032</v>
      </c>
      <c r="B865" s="178" t="s">
        <v>38</v>
      </c>
      <c r="C865" s="178" t="s">
        <v>108</v>
      </c>
      <c r="D865" s="179" t="s">
        <v>39</v>
      </c>
      <c r="E865" s="180">
        <v>45612</v>
      </c>
      <c r="F865" s="180">
        <v>45687</v>
      </c>
      <c r="G865" s="178" t="s">
        <v>108</v>
      </c>
      <c r="H865" s="168" t="s">
        <v>3033</v>
      </c>
      <c r="I865" s="179" t="s">
        <v>592</v>
      </c>
      <c r="J865" s="178" t="s">
        <v>56</v>
      </c>
      <c r="K865" s="181" t="s">
        <v>3034</v>
      </c>
      <c r="L865" s="183" t="s">
        <v>3035</v>
      </c>
      <c r="M865" s="57" t="s">
        <v>2994</v>
      </c>
      <c r="N865" s="179">
        <v>4</v>
      </c>
      <c r="O865" s="179" t="s">
        <v>45</v>
      </c>
      <c r="P865" s="183" t="s">
        <v>3036</v>
      </c>
      <c r="Q865" s="84" t="s">
        <v>776</v>
      </c>
      <c r="R865" s="190">
        <v>45671</v>
      </c>
      <c r="S865" s="184"/>
    </row>
    <row r="866" spans="1:19" ht="44.45" hidden="1" customHeight="1">
      <c r="A866" s="185" t="s">
        <v>3037</v>
      </c>
      <c r="B866" s="178" t="s">
        <v>38</v>
      </c>
      <c r="C866" s="178" t="s">
        <v>71</v>
      </c>
      <c r="D866" s="179" t="s">
        <v>39</v>
      </c>
      <c r="E866" s="180">
        <v>45614</v>
      </c>
      <c r="F866" s="180">
        <v>45644</v>
      </c>
      <c r="G866" s="178" t="s">
        <v>71</v>
      </c>
      <c r="H866" s="168" t="s">
        <v>3038</v>
      </c>
      <c r="I866" s="179" t="s">
        <v>3039</v>
      </c>
      <c r="J866" s="178" t="s">
        <v>56</v>
      </c>
      <c r="K866" s="181" t="s">
        <v>3040</v>
      </c>
      <c r="L866" s="195" t="s">
        <v>3041</v>
      </c>
      <c r="M866" s="57" t="s">
        <v>2735</v>
      </c>
      <c r="N866" s="179">
        <v>3</v>
      </c>
      <c r="O866" s="179" t="s">
        <v>45</v>
      </c>
      <c r="P866" s="183" t="s">
        <v>3042</v>
      </c>
      <c r="Q866" s="84" t="s">
        <v>776</v>
      </c>
      <c r="R866" s="190"/>
      <c r="S866" s="184"/>
    </row>
    <row r="867" spans="1:19" ht="44.45" hidden="1" customHeight="1">
      <c r="A867" s="185" t="s">
        <v>3043</v>
      </c>
      <c r="B867" s="178" t="s">
        <v>38</v>
      </c>
      <c r="C867" s="178" t="s">
        <v>71</v>
      </c>
      <c r="D867" s="179" t="s">
        <v>39</v>
      </c>
      <c r="E867" s="180">
        <v>45617</v>
      </c>
      <c r="F867" s="180">
        <v>45647</v>
      </c>
      <c r="G867" s="178" t="s">
        <v>71</v>
      </c>
      <c r="H867" s="168" t="s">
        <v>2778</v>
      </c>
      <c r="I867" s="179" t="s">
        <v>2966</v>
      </c>
      <c r="J867" s="178" t="s">
        <v>56</v>
      </c>
      <c r="K867" s="181" t="s">
        <v>3044</v>
      </c>
      <c r="L867" s="183" t="s">
        <v>3045</v>
      </c>
      <c r="M867" s="57" t="s">
        <v>2735</v>
      </c>
      <c r="N867" s="179">
        <v>3</v>
      </c>
      <c r="O867" s="179"/>
      <c r="P867" s="183" t="s">
        <v>3046</v>
      </c>
      <c r="Q867" s="84"/>
      <c r="R867" s="190"/>
      <c r="S867" s="184"/>
    </row>
    <row r="868" spans="1:19" ht="44.45" customHeight="1">
      <c r="A868" s="185" t="s">
        <v>3047</v>
      </c>
      <c r="B868" s="178" t="s">
        <v>53</v>
      </c>
      <c r="C868" s="178" t="s">
        <v>71</v>
      </c>
      <c r="D868" s="179" t="s">
        <v>39</v>
      </c>
      <c r="E868" s="180">
        <v>45618</v>
      </c>
      <c r="F868" s="180">
        <v>45679</v>
      </c>
      <c r="G868" s="178" t="s">
        <v>71</v>
      </c>
      <c r="H868" s="168" t="s">
        <v>3048</v>
      </c>
      <c r="I868" s="179" t="s">
        <v>3049</v>
      </c>
      <c r="J868" s="178" t="s">
        <v>81</v>
      </c>
      <c r="K868" s="181" t="s">
        <v>3050</v>
      </c>
      <c r="L868" s="183" t="s">
        <v>3051</v>
      </c>
      <c r="M868" s="57" t="s">
        <v>2824</v>
      </c>
      <c r="N868" s="179">
        <v>3</v>
      </c>
      <c r="O868" s="179"/>
      <c r="P868" s="183" t="s">
        <v>3052</v>
      </c>
      <c r="Q868" s="84"/>
      <c r="R868" s="190"/>
      <c r="S868" s="184"/>
    </row>
    <row r="869" spans="1:19" ht="44.45" customHeight="1">
      <c r="A869" s="185" t="s">
        <v>3053</v>
      </c>
      <c r="B869" s="178" t="s">
        <v>53</v>
      </c>
      <c r="C869" s="178" t="s">
        <v>71</v>
      </c>
      <c r="D869" s="179" t="s">
        <v>39</v>
      </c>
      <c r="E869" s="180">
        <v>45618</v>
      </c>
      <c r="F869" s="180">
        <v>45682</v>
      </c>
      <c r="G869" s="178" t="s">
        <v>71</v>
      </c>
      <c r="H869" s="168" t="s">
        <v>3048</v>
      </c>
      <c r="I869" s="179" t="s">
        <v>3054</v>
      </c>
      <c r="J869" s="178" t="s">
        <v>102</v>
      </c>
      <c r="K869" s="181" t="s">
        <v>3055</v>
      </c>
      <c r="L869" s="183" t="s">
        <v>3056</v>
      </c>
      <c r="M869" s="57" t="s">
        <v>2824</v>
      </c>
      <c r="N869" s="179">
        <v>3</v>
      </c>
      <c r="O869" s="179"/>
      <c r="P869" s="183" t="s">
        <v>3057</v>
      </c>
      <c r="Q869" s="84"/>
      <c r="R869" s="190"/>
      <c r="S869" s="184"/>
    </row>
    <row r="870" spans="1:19" ht="44.45" customHeight="1">
      <c r="A870" s="185" t="s">
        <v>3058</v>
      </c>
      <c r="B870" s="178" t="s">
        <v>53</v>
      </c>
      <c r="C870" s="178" t="s">
        <v>71</v>
      </c>
      <c r="D870" s="179" t="s">
        <v>39</v>
      </c>
      <c r="E870" s="180">
        <v>45618</v>
      </c>
      <c r="F870" s="180">
        <v>45679</v>
      </c>
      <c r="G870" s="178" t="s">
        <v>71</v>
      </c>
      <c r="H870" s="168" t="s">
        <v>2985</v>
      </c>
      <c r="I870" s="179" t="s">
        <v>3059</v>
      </c>
      <c r="J870" s="178" t="s">
        <v>56</v>
      </c>
      <c r="K870" s="181" t="s">
        <v>3060</v>
      </c>
      <c r="L870" s="183" t="s">
        <v>3061</v>
      </c>
      <c r="M870" s="57" t="s">
        <v>2741</v>
      </c>
      <c r="N870" s="179">
        <v>3</v>
      </c>
      <c r="O870" s="179"/>
      <c r="P870" s="183" t="s">
        <v>3062</v>
      </c>
      <c r="Q870" s="84"/>
      <c r="R870" s="190"/>
      <c r="S870" s="184"/>
    </row>
    <row r="871" spans="1:19" ht="44.45" customHeight="1">
      <c r="A871" s="185" t="s">
        <v>3063</v>
      </c>
      <c r="B871" s="178" t="s">
        <v>53</v>
      </c>
      <c r="C871" s="178" t="s">
        <v>71</v>
      </c>
      <c r="D871" s="179" t="s">
        <v>39</v>
      </c>
      <c r="E871" s="180">
        <v>45621</v>
      </c>
      <c r="F871" s="180">
        <v>45682</v>
      </c>
      <c r="G871" s="178" t="s">
        <v>71</v>
      </c>
      <c r="H871" s="168" t="s">
        <v>2156</v>
      </c>
      <c r="I871" s="179" t="s">
        <v>2539</v>
      </c>
      <c r="J871" s="178" t="s">
        <v>1570</v>
      </c>
      <c r="K871" s="181" t="s">
        <v>3064</v>
      </c>
      <c r="L871" s="183" t="s">
        <v>3065</v>
      </c>
      <c r="M871" s="57" t="s">
        <v>2824</v>
      </c>
      <c r="N871" s="179">
        <v>3</v>
      </c>
      <c r="O871" s="179"/>
      <c r="P871" s="183" t="s">
        <v>3066</v>
      </c>
      <c r="Q871" s="84"/>
      <c r="R871" s="190"/>
      <c r="S871" s="184"/>
    </row>
    <row r="872" spans="1:19" ht="44.45" customHeight="1">
      <c r="A872" s="185" t="s">
        <v>3067</v>
      </c>
      <c r="B872" s="178" t="s">
        <v>53</v>
      </c>
      <c r="C872" s="178" t="s">
        <v>71</v>
      </c>
      <c r="D872" s="179" t="s">
        <v>39</v>
      </c>
      <c r="E872" s="180">
        <v>45581</v>
      </c>
      <c r="F872" s="180">
        <v>45642</v>
      </c>
      <c r="G872" s="178" t="s">
        <v>71</v>
      </c>
      <c r="H872" s="179" t="s">
        <v>3068</v>
      </c>
      <c r="I872" s="179" t="s">
        <v>3069</v>
      </c>
      <c r="J872" s="178" t="s">
        <v>316</v>
      </c>
      <c r="K872" s="181" t="s">
        <v>3070</v>
      </c>
      <c r="L872" s="183" t="s">
        <v>3071</v>
      </c>
      <c r="M872" s="57" t="s">
        <v>2741</v>
      </c>
      <c r="N872" s="179">
        <v>3</v>
      </c>
      <c r="O872" s="179"/>
      <c r="P872" s="183" t="s">
        <v>3072</v>
      </c>
      <c r="Q872" s="84"/>
      <c r="R872" s="190"/>
      <c r="S872" s="184"/>
    </row>
    <row r="873" spans="1:19" ht="44.45" hidden="1" customHeight="1">
      <c r="A873" s="185" t="s">
        <v>3073</v>
      </c>
      <c r="B873" s="178" t="s">
        <v>47</v>
      </c>
      <c r="C873" s="178" t="s">
        <v>53</v>
      </c>
      <c r="D873" s="179" t="s">
        <v>39</v>
      </c>
      <c r="E873" s="180">
        <v>45623</v>
      </c>
      <c r="F873" s="180">
        <v>45682</v>
      </c>
      <c r="G873" s="178" t="s">
        <v>71</v>
      </c>
      <c r="H873" s="168" t="s">
        <v>3048</v>
      </c>
      <c r="I873" s="179" t="s">
        <v>3074</v>
      </c>
      <c r="J873" s="178" t="s">
        <v>2252</v>
      </c>
      <c r="K873" s="181" t="s">
        <v>42</v>
      </c>
      <c r="L873" s="183" t="s">
        <v>3075</v>
      </c>
      <c r="M873" s="57" t="s">
        <v>2824</v>
      </c>
      <c r="N873" s="179">
        <v>1</v>
      </c>
      <c r="O873" s="179"/>
      <c r="P873" s="183" t="s">
        <v>3076</v>
      </c>
      <c r="Q873" s="84"/>
      <c r="R873" s="190"/>
      <c r="S873" s="184"/>
    </row>
    <row r="874" spans="1:19" ht="44.45" customHeight="1">
      <c r="A874" s="185" t="s">
        <v>3077</v>
      </c>
      <c r="B874" s="178" t="s">
        <v>53</v>
      </c>
      <c r="C874" s="178" t="s">
        <v>71</v>
      </c>
      <c r="D874" s="179" t="s">
        <v>39</v>
      </c>
      <c r="E874" s="180">
        <v>45623</v>
      </c>
      <c r="F874" s="180">
        <v>45682</v>
      </c>
      <c r="G874" s="178" t="s">
        <v>71</v>
      </c>
      <c r="H874" s="168" t="s">
        <v>2499</v>
      </c>
      <c r="I874" s="179" t="s">
        <v>3078</v>
      </c>
      <c r="J874" s="178" t="s">
        <v>56</v>
      </c>
      <c r="K874" s="181" t="s">
        <v>42</v>
      </c>
      <c r="L874" s="183" t="s">
        <v>3079</v>
      </c>
      <c r="M874" s="57" t="s">
        <v>2741</v>
      </c>
      <c r="N874" s="179">
        <v>3</v>
      </c>
      <c r="O874" s="179"/>
      <c r="P874" s="183" t="s">
        <v>3080</v>
      </c>
      <c r="Q874" s="84"/>
      <c r="R874" s="190"/>
      <c r="S874" s="184"/>
    </row>
    <row r="875" spans="1:19" ht="44.45" customHeight="1">
      <c r="A875" s="185" t="s">
        <v>3081</v>
      </c>
      <c r="B875" s="178" t="s">
        <v>53</v>
      </c>
      <c r="C875" s="178" t="s">
        <v>71</v>
      </c>
      <c r="D875" s="179" t="s">
        <v>39</v>
      </c>
      <c r="E875" s="180">
        <v>45623</v>
      </c>
      <c r="F875" s="180">
        <v>45682</v>
      </c>
      <c r="G875" s="178" t="s">
        <v>71</v>
      </c>
      <c r="H875" s="168" t="s">
        <v>3082</v>
      </c>
      <c r="I875" s="179" t="s">
        <v>3083</v>
      </c>
      <c r="J875" s="178" t="s">
        <v>56</v>
      </c>
      <c r="K875" s="181" t="s">
        <v>42</v>
      </c>
      <c r="L875" s="183" t="s">
        <v>3084</v>
      </c>
      <c r="M875" s="57" t="s">
        <v>2741</v>
      </c>
      <c r="N875" s="179">
        <v>3</v>
      </c>
      <c r="O875" s="179"/>
      <c r="P875" s="183" t="s">
        <v>3085</v>
      </c>
      <c r="Q875" s="84"/>
      <c r="R875" s="190"/>
      <c r="S875" s="184"/>
    </row>
    <row r="876" spans="1:19" ht="44.45" hidden="1" customHeight="1">
      <c r="A876" s="185" t="s">
        <v>3086</v>
      </c>
      <c r="B876" s="178" t="s">
        <v>47</v>
      </c>
      <c r="C876" s="178" t="s">
        <v>71</v>
      </c>
      <c r="D876" s="179" t="s">
        <v>39</v>
      </c>
      <c r="E876" s="180">
        <v>45624</v>
      </c>
      <c r="F876" s="180">
        <v>45685</v>
      </c>
      <c r="G876" s="178" t="s">
        <v>71</v>
      </c>
      <c r="H876" s="168" t="s">
        <v>3087</v>
      </c>
      <c r="I876" s="179" t="s">
        <v>3074</v>
      </c>
      <c r="J876" s="178" t="s">
        <v>81</v>
      </c>
      <c r="K876" s="181" t="s">
        <v>3088</v>
      </c>
      <c r="L876" s="183" t="s">
        <v>3089</v>
      </c>
      <c r="M876" s="57" t="s">
        <v>2824</v>
      </c>
      <c r="N876" s="179">
        <v>1</v>
      </c>
      <c r="O876" s="179"/>
      <c r="P876" s="183" t="s">
        <v>3090</v>
      </c>
      <c r="Q876" s="84"/>
      <c r="R876" s="190"/>
      <c r="S876" s="184"/>
    </row>
    <row r="877" spans="1:19" ht="44.45" customHeight="1">
      <c r="A877" s="185" t="s">
        <v>3091</v>
      </c>
      <c r="B877" s="178" t="s">
        <v>53</v>
      </c>
      <c r="C877" s="178" t="s">
        <v>53</v>
      </c>
      <c r="D877" s="179" t="s">
        <v>39</v>
      </c>
      <c r="E877" s="180">
        <v>45624</v>
      </c>
      <c r="F877" s="180">
        <v>45685</v>
      </c>
      <c r="G877" s="178" t="s">
        <v>71</v>
      </c>
      <c r="H877" s="189" t="s">
        <v>2759</v>
      </c>
      <c r="I877" s="189" t="s">
        <v>3092</v>
      </c>
      <c r="J877" s="178" t="s">
        <v>56</v>
      </c>
      <c r="K877" s="181"/>
      <c r="L877" s="53" t="s">
        <v>3093</v>
      </c>
      <c r="M877" s="57" t="s">
        <v>3094</v>
      </c>
      <c r="N877" s="179">
        <v>2</v>
      </c>
      <c r="O877" s="179"/>
      <c r="P877" s="183" t="s">
        <v>3095</v>
      </c>
      <c r="Q877" s="84"/>
      <c r="R877" s="190"/>
      <c r="S877" s="184"/>
    </row>
    <row r="878" spans="1:19" ht="44.45" hidden="1" customHeight="1">
      <c r="A878" s="185" t="s">
        <v>3096</v>
      </c>
      <c r="B878" s="178" t="s">
        <v>3097</v>
      </c>
      <c r="C878" s="178" t="s">
        <v>71</v>
      </c>
      <c r="D878" s="179" t="s">
        <v>39</v>
      </c>
      <c r="E878" s="180">
        <v>45628</v>
      </c>
      <c r="F878" s="180">
        <v>45659</v>
      </c>
      <c r="G878" s="178" t="s">
        <v>71</v>
      </c>
      <c r="H878" s="168" t="s">
        <v>3048</v>
      </c>
      <c r="I878" s="179" t="s">
        <v>3049</v>
      </c>
      <c r="J878" s="178" t="s">
        <v>81</v>
      </c>
      <c r="K878" s="181" t="s">
        <v>3050</v>
      </c>
      <c r="L878" s="183" t="s">
        <v>3098</v>
      </c>
      <c r="M878" s="57" t="s">
        <v>2741</v>
      </c>
      <c r="N878" s="179">
        <v>1</v>
      </c>
      <c r="O878" s="179"/>
      <c r="P878" s="183" t="s">
        <v>3099</v>
      </c>
      <c r="Q878" s="84"/>
      <c r="R878" s="190"/>
      <c r="S878" s="184"/>
    </row>
    <row r="879" spans="1:19" ht="44.45" customHeight="1">
      <c r="A879" s="185" t="s">
        <v>3100</v>
      </c>
      <c r="B879" s="178" t="s">
        <v>53</v>
      </c>
      <c r="C879" s="178" t="s">
        <v>71</v>
      </c>
      <c r="D879" s="179" t="s">
        <v>117</v>
      </c>
      <c r="E879" s="180">
        <v>45630</v>
      </c>
      <c r="F879" s="180">
        <v>45661</v>
      </c>
      <c r="G879" s="178" t="s">
        <v>71</v>
      </c>
      <c r="H879" s="189" t="s">
        <v>3101</v>
      </c>
      <c r="I879" s="189" t="s">
        <v>3102</v>
      </c>
      <c r="J879" s="178" t="s">
        <v>56</v>
      </c>
      <c r="K879" s="181" t="s">
        <v>42</v>
      </c>
      <c r="L879" s="53" t="s">
        <v>3103</v>
      </c>
      <c r="M879" s="57" t="s">
        <v>2824</v>
      </c>
      <c r="N879" s="179">
        <v>4</v>
      </c>
      <c r="O879" s="179"/>
      <c r="P879" s="183" t="s">
        <v>3104</v>
      </c>
      <c r="Q879" s="84"/>
      <c r="R879" s="190"/>
      <c r="S879" s="184"/>
    </row>
    <row r="880" spans="1:19" ht="44.45" customHeight="1">
      <c r="A880" s="185" t="s">
        <v>3105</v>
      </c>
      <c r="B880" s="178" t="s">
        <v>53</v>
      </c>
      <c r="C880" s="178" t="s">
        <v>71</v>
      </c>
      <c r="D880" s="179" t="s">
        <v>39</v>
      </c>
      <c r="E880" s="180">
        <v>45631</v>
      </c>
      <c r="F880" s="180">
        <v>45662</v>
      </c>
      <c r="G880" s="178" t="s">
        <v>71</v>
      </c>
      <c r="H880" s="189" t="s">
        <v>3106</v>
      </c>
      <c r="I880" s="189" t="s">
        <v>3107</v>
      </c>
      <c r="J880" s="178" t="s">
        <v>102</v>
      </c>
      <c r="K880" s="181" t="s">
        <v>3108</v>
      </c>
      <c r="L880" s="53" t="s">
        <v>3109</v>
      </c>
      <c r="M880" s="57" t="s">
        <v>2824</v>
      </c>
      <c r="N880" s="179">
        <v>3</v>
      </c>
      <c r="O880" s="179"/>
      <c r="P880" s="183" t="s">
        <v>3110</v>
      </c>
      <c r="Q880" s="84"/>
      <c r="R880" s="190"/>
      <c r="S880" s="184"/>
    </row>
    <row r="881" spans="1:19" ht="44.45" hidden="1" customHeight="1">
      <c r="A881" s="185" t="s">
        <v>3111</v>
      </c>
      <c r="B881" s="178" t="s">
        <v>38</v>
      </c>
      <c r="C881" s="178" t="s">
        <v>38</v>
      </c>
      <c r="D881" s="179" t="s">
        <v>39</v>
      </c>
      <c r="E881" s="180">
        <v>45631</v>
      </c>
      <c r="F881" s="180">
        <v>45693</v>
      </c>
      <c r="G881" s="178" t="s">
        <v>71</v>
      </c>
      <c r="H881" s="189" t="s">
        <v>3112</v>
      </c>
      <c r="I881" s="189" t="s">
        <v>2768</v>
      </c>
      <c r="J881" s="178" t="s">
        <v>56</v>
      </c>
      <c r="K881" s="181" t="s">
        <v>42</v>
      </c>
      <c r="L881" s="53" t="s">
        <v>3113</v>
      </c>
      <c r="M881" s="57" t="s">
        <v>2735</v>
      </c>
      <c r="N881" s="179">
        <v>3</v>
      </c>
      <c r="O881" s="179"/>
      <c r="P881" s="183" t="s">
        <v>3114</v>
      </c>
      <c r="Q881" s="84"/>
      <c r="R881" s="190"/>
      <c r="S881" s="184"/>
    </row>
    <row r="882" spans="1:19" ht="37.15" hidden="1" customHeight="1">
      <c r="A882" s="196" t="s">
        <v>3115</v>
      </c>
      <c r="B882" s="197" t="s">
        <v>38</v>
      </c>
      <c r="C882" s="197" t="s">
        <v>38</v>
      </c>
      <c r="D882" s="124" t="s">
        <v>39</v>
      </c>
      <c r="E882" s="198">
        <v>45632</v>
      </c>
      <c r="F882" s="198">
        <v>45694</v>
      </c>
      <c r="G882" s="197" t="s">
        <v>71</v>
      </c>
      <c r="H882" s="199" t="s">
        <v>2809</v>
      </c>
      <c r="I882" s="199" t="s">
        <v>2768</v>
      </c>
      <c r="J882" s="197" t="s">
        <v>56</v>
      </c>
      <c r="K882" s="200" t="s">
        <v>42</v>
      </c>
      <c r="L882" s="54" t="s">
        <v>3116</v>
      </c>
      <c r="M882" s="201" t="s">
        <v>2735</v>
      </c>
      <c r="N882" s="124">
        <v>3</v>
      </c>
      <c r="O882" s="124"/>
      <c r="P882" s="202" t="s">
        <v>3117</v>
      </c>
      <c r="Q882" s="84"/>
      <c r="R882" s="190"/>
      <c r="S882" s="184"/>
    </row>
    <row r="883" spans="1:19" ht="37.15" hidden="1" customHeight="1">
      <c r="A883" s="185" t="s">
        <v>3118</v>
      </c>
      <c r="B883" s="178" t="s">
        <v>47</v>
      </c>
      <c r="C883" s="178" t="s">
        <v>279</v>
      </c>
      <c r="D883" s="179" t="s">
        <v>39</v>
      </c>
      <c r="E883" s="180">
        <v>45632</v>
      </c>
      <c r="F883" s="180">
        <v>45663</v>
      </c>
      <c r="G883" s="178" t="s">
        <v>279</v>
      </c>
      <c r="H883" s="189" t="s">
        <v>3119</v>
      </c>
      <c r="I883" s="189" t="s">
        <v>2966</v>
      </c>
      <c r="J883" s="178" t="s">
        <v>56</v>
      </c>
      <c r="K883" s="181" t="s">
        <v>42</v>
      </c>
      <c r="L883" s="55" t="s">
        <v>3120</v>
      </c>
      <c r="M883" s="57" t="s">
        <v>2824</v>
      </c>
      <c r="N883" s="179">
        <v>1</v>
      </c>
      <c r="O883" s="179"/>
      <c r="P883" s="183" t="s">
        <v>3121</v>
      </c>
      <c r="Q883" s="84"/>
      <c r="R883" s="190"/>
      <c r="S883" s="184"/>
    </row>
    <row r="884" spans="1:19" s="204" customFormat="1" ht="37.15" customHeight="1">
      <c r="A884" s="185" t="s">
        <v>3122</v>
      </c>
      <c r="B884" s="178" t="s">
        <v>53</v>
      </c>
      <c r="C884" s="178" t="s">
        <v>3123</v>
      </c>
      <c r="D884" s="179" t="s">
        <v>39</v>
      </c>
      <c r="E884" s="180">
        <v>45631</v>
      </c>
      <c r="F884" s="180">
        <v>45662</v>
      </c>
      <c r="G884" s="178" t="s">
        <v>2373</v>
      </c>
      <c r="H884" s="178" t="s">
        <v>2814</v>
      </c>
      <c r="I884" s="178" t="s">
        <v>2220</v>
      </c>
      <c r="J884" s="178" t="s">
        <v>56</v>
      </c>
      <c r="K884" s="178" t="s">
        <v>42</v>
      </c>
      <c r="L884" s="182" t="s">
        <v>3124</v>
      </c>
      <c r="M884" s="57" t="s">
        <v>2741</v>
      </c>
      <c r="N884" s="178">
        <v>3</v>
      </c>
      <c r="O884" s="178"/>
      <c r="P884" s="179" t="s">
        <v>3125</v>
      </c>
      <c r="Q884" s="84"/>
      <c r="R884" s="203"/>
      <c r="S884" s="203"/>
    </row>
    <row r="885" spans="1:19" s="12" customFormat="1" ht="58.7" customHeight="1">
      <c r="A885" s="185" t="s">
        <v>3126</v>
      </c>
      <c r="B885" s="178" t="s">
        <v>53</v>
      </c>
      <c r="C885" s="178" t="s">
        <v>3123</v>
      </c>
      <c r="D885" s="179" t="s">
        <v>39</v>
      </c>
      <c r="E885" s="180">
        <v>45635</v>
      </c>
      <c r="F885" s="180">
        <v>45666</v>
      </c>
      <c r="G885" s="178" t="s">
        <v>71</v>
      </c>
      <c r="H885" s="189" t="s">
        <v>3106</v>
      </c>
      <c r="I885" s="189" t="s">
        <v>3107</v>
      </c>
      <c r="J885" s="178" t="s">
        <v>102</v>
      </c>
      <c r="K885" s="178" t="s">
        <v>3127</v>
      </c>
      <c r="L885" s="183" t="s">
        <v>3128</v>
      </c>
      <c r="M885" s="57" t="s">
        <v>2824</v>
      </c>
      <c r="N885" s="178">
        <v>3</v>
      </c>
      <c r="O885" s="178"/>
      <c r="P885" s="183" t="s">
        <v>3129</v>
      </c>
      <c r="Q885" s="84"/>
      <c r="R885" s="190"/>
      <c r="S885" s="205"/>
    </row>
    <row r="886" spans="1:19" ht="37.15" customHeight="1">
      <c r="A886" s="185" t="s">
        <v>3130</v>
      </c>
      <c r="B886" s="178" t="s">
        <v>2827</v>
      </c>
      <c r="C886" s="178" t="s">
        <v>3123</v>
      </c>
      <c r="D886" s="179" t="s">
        <v>39</v>
      </c>
      <c r="E886" s="180">
        <v>45636</v>
      </c>
      <c r="F886" s="180">
        <v>45667</v>
      </c>
      <c r="G886" s="178" t="s">
        <v>2373</v>
      </c>
      <c r="H886" s="178" t="s">
        <v>3131</v>
      </c>
      <c r="I886" s="178" t="s">
        <v>3132</v>
      </c>
      <c r="J886" s="179" t="s">
        <v>3133</v>
      </c>
      <c r="K886" s="178" t="s">
        <v>3134</v>
      </c>
      <c r="L886" s="206" t="s">
        <v>3135</v>
      </c>
      <c r="M886" s="57" t="s">
        <v>2741</v>
      </c>
      <c r="N886" s="178">
        <v>3</v>
      </c>
      <c r="O886" s="178"/>
      <c r="P886" s="183" t="s">
        <v>3136</v>
      </c>
      <c r="Q886" s="84"/>
      <c r="R886" s="190"/>
    </row>
    <row r="887" spans="1:19" ht="37.15" customHeight="1">
      <c r="A887" s="185" t="s">
        <v>3137</v>
      </c>
      <c r="B887" s="178" t="s">
        <v>2827</v>
      </c>
      <c r="C887" s="178" t="s">
        <v>3123</v>
      </c>
      <c r="D887" s="179" t="s">
        <v>39</v>
      </c>
      <c r="E887" s="180">
        <v>45636</v>
      </c>
      <c r="F887" s="180">
        <v>45667</v>
      </c>
      <c r="G887" s="178" t="s">
        <v>71</v>
      </c>
      <c r="H887" s="178" t="s">
        <v>2739</v>
      </c>
      <c r="I887" s="178" t="s">
        <v>3138</v>
      </c>
      <c r="J887" s="178" t="s">
        <v>102</v>
      </c>
      <c r="K887" s="178" t="s">
        <v>3139</v>
      </c>
      <c r="L887" s="183" t="s">
        <v>3140</v>
      </c>
      <c r="M887" s="57" t="s">
        <v>2741</v>
      </c>
      <c r="N887" s="178">
        <v>3</v>
      </c>
      <c r="O887" s="178"/>
      <c r="P887" s="206" t="s">
        <v>3141</v>
      </c>
      <c r="Q887" s="84"/>
      <c r="R887" s="190"/>
    </row>
    <row r="888" spans="1:19" ht="76.7" customHeight="1">
      <c r="A888" s="185" t="s">
        <v>3142</v>
      </c>
      <c r="B888" s="178" t="s">
        <v>53</v>
      </c>
      <c r="C888" s="178" t="s">
        <v>3123</v>
      </c>
      <c r="D888" s="179" t="s">
        <v>39</v>
      </c>
      <c r="E888" s="180">
        <v>45637</v>
      </c>
      <c r="F888" s="180">
        <v>45667</v>
      </c>
      <c r="G888" s="178" t="s">
        <v>71</v>
      </c>
      <c r="H888" s="178" t="s">
        <v>2156</v>
      </c>
      <c r="I888" s="178" t="s">
        <v>3107</v>
      </c>
      <c r="J888" s="178" t="s">
        <v>102</v>
      </c>
      <c r="K888" s="178" t="s">
        <v>3143</v>
      </c>
      <c r="L888" s="183" t="s">
        <v>3144</v>
      </c>
      <c r="M888" s="57" t="s">
        <v>2824</v>
      </c>
      <c r="N888" s="178">
        <v>3</v>
      </c>
      <c r="O888" s="178"/>
      <c r="P888" s="183" t="s">
        <v>3145</v>
      </c>
      <c r="Q888" s="84"/>
      <c r="R888" s="190"/>
    </row>
    <row r="889" spans="1:19" ht="45" hidden="1">
      <c r="A889" s="196" t="s">
        <v>3146</v>
      </c>
      <c r="B889" s="197" t="s">
        <v>38</v>
      </c>
      <c r="C889" s="197" t="s">
        <v>3123</v>
      </c>
      <c r="D889" s="124" t="s">
        <v>39</v>
      </c>
      <c r="E889" s="198">
        <v>45637</v>
      </c>
      <c r="F889" s="180">
        <v>45668</v>
      </c>
      <c r="G889" s="197" t="s">
        <v>108</v>
      </c>
      <c r="H889" s="199" t="s">
        <v>3147</v>
      </c>
      <c r="I889" s="199" t="s">
        <v>2768</v>
      </c>
      <c r="J889" s="197" t="s">
        <v>1378</v>
      </c>
      <c r="K889" s="200" t="s">
        <v>3148</v>
      </c>
      <c r="L889" s="54" t="s">
        <v>3149</v>
      </c>
      <c r="M889" s="201" t="s">
        <v>2735</v>
      </c>
      <c r="N889" s="124">
        <v>3</v>
      </c>
      <c r="O889" s="124"/>
      <c r="P889" s="202" t="s">
        <v>3150</v>
      </c>
      <c r="Q889" s="84"/>
      <c r="R889" s="190"/>
    </row>
    <row r="890" spans="1:19" ht="33" customHeight="1">
      <c r="A890" s="185" t="s">
        <v>3151</v>
      </c>
      <c r="B890" s="178" t="s">
        <v>53</v>
      </c>
      <c r="C890" s="178" t="s">
        <v>3123</v>
      </c>
      <c r="D890" s="179" t="s">
        <v>39</v>
      </c>
      <c r="E890" s="180">
        <v>45639</v>
      </c>
      <c r="F890" s="180">
        <v>45304</v>
      </c>
      <c r="G890" s="178" t="s">
        <v>71</v>
      </c>
      <c r="H890" s="178" t="s">
        <v>2493</v>
      </c>
      <c r="I890" s="178" t="s">
        <v>3152</v>
      </c>
      <c r="J890" s="178" t="s">
        <v>56</v>
      </c>
      <c r="K890" s="178" t="s">
        <v>3153</v>
      </c>
      <c r="L890" s="182" t="s">
        <v>3154</v>
      </c>
      <c r="M890" s="56" t="s">
        <v>2741</v>
      </c>
      <c r="N890" s="178">
        <v>3</v>
      </c>
      <c r="O890" s="178"/>
      <c r="P890" s="183" t="s">
        <v>3155</v>
      </c>
      <c r="Q890" s="84"/>
      <c r="R890" s="190"/>
    </row>
    <row r="891" spans="1:19" ht="39.75" customHeight="1">
      <c r="A891" s="185" t="s">
        <v>3156</v>
      </c>
      <c r="B891" s="178" t="s">
        <v>53</v>
      </c>
      <c r="C891" s="178" t="s">
        <v>3123</v>
      </c>
      <c r="D891" s="179" t="s">
        <v>39</v>
      </c>
      <c r="E891" s="180">
        <v>45639</v>
      </c>
      <c r="F891" s="180">
        <v>45304</v>
      </c>
      <c r="G891" s="178" t="s">
        <v>71</v>
      </c>
      <c r="H891" s="178" t="s">
        <v>3157</v>
      </c>
      <c r="I891" s="179" t="s">
        <v>2346</v>
      </c>
      <c r="J891" s="178" t="s">
        <v>56</v>
      </c>
      <c r="K891" s="178" t="s">
        <v>3158</v>
      </c>
      <c r="L891" s="206" t="s">
        <v>3159</v>
      </c>
      <c r="M891" s="57" t="s">
        <v>2741</v>
      </c>
      <c r="N891" s="178">
        <v>3</v>
      </c>
      <c r="O891" s="178"/>
      <c r="P891" s="183" t="s">
        <v>3160</v>
      </c>
      <c r="Q891" s="84"/>
      <c r="R891" s="190"/>
    </row>
    <row r="892" spans="1:19" ht="68.25" hidden="1" customHeight="1">
      <c r="A892" s="185" t="s">
        <v>3161</v>
      </c>
      <c r="B892" s="178" t="s">
        <v>47</v>
      </c>
      <c r="C892" s="178" t="s">
        <v>886</v>
      </c>
      <c r="D892" s="179" t="s">
        <v>39</v>
      </c>
      <c r="E892" s="180">
        <v>45643</v>
      </c>
      <c r="F892" s="180">
        <v>45674</v>
      </c>
      <c r="G892" s="178" t="s">
        <v>279</v>
      </c>
      <c r="H892" s="178" t="s">
        <v>3119</v>
      </c>
      <c r="I892" s="178" t="s">
        <v>2966</v>
      </c>
      <c r="J892" s="178" t="s">
        <v>56</v>
      </c>
      <c r="K892" s="178" t="s">
        <v>3162</v>
      </c>
      <c r="L892" s="183" t="s">
        <v>3163</v>
      </c>
      <c r="M892" s="57" t="s">
        <v>2824</v>
      </c>
      <c r="N892" s="178">
        <v>1</v>
      </c>
      <c r="O892" s="178"/>
      <c r="P892" s="183" t="s">
        <v>3164</v>
      </c>
      <c r="Q892" s="84"/>
      <c r="R892" s="190"/>
    </row>
    <row r="893" spans="1:19" ht="33" customHeight="1">
      <c r="A893" s="185" t="s">
        <v>3165</v>
      </c>
      <c r="B893" s="178" t="s">
        <v>53</v>
      </c>
      <c r="C893" s="178" t="s">
        <v>3123</v>
      </c>
      <c r="D893" s="179" t="s">
        <v>39</v>
      </c>
      <c r="E893" s="180">
        <v>45645</v>
      </c>
      <c r="F893" s="180">
        <v>45310</v>
      </c>
      <c r="G893" s="178" t="s">
        <v>71</v>
      </c>
      <c r="H893" s="178" t="s">
        <v>3166</v>
      </c>
      <c r="I893" s="178" t="s">
        <v>2220</v>
      </c>
      <c r="J893" s="178" t="s">
        <v>3167</v>
      </c>
      <c r="K893" s="178" t="s">
        <v>3168</v>
      </c>
      <c r="L893" s="206" t="s">
        <v>3169</v>
      </c>
      <c r="M893" s="56" t="s">
        <v>2741</v>
      </c>
      <c r="N893" s="178">
        <v>2</v>
      </c>
      <c r="O893" s="178"/>
      <c r="P893" s="183" t="s">
        <v>3170</v>
      </c>
      <c r="Q893" s="84"/>
      <c r="R893" s="190"/>
    </row>
    <row r="894" spans="1:19" ht="33" customHeight="1">
      <c r="A894" s="185" t="s">
        <v>3171</v>
      </c>
      <c r="B894" s="178" t="s">
        <v>53</v>
      </c>
      <c r="C894" s="178" t="s">
        <v>3123</v>
      </c>
      <c r="D894" s="179" t="s">
        <v>39</v>
      </c>
      <c r="E894" s="180">
        <v>45645</v>
      </c>
      <c r="F894" s="180">
        <v>45310</v>
      </c>
      <c r="G894" s="178" t="s">
        <v>71</v>
      </c>
      <c r="H894" s="178" t="s">
        <v>3172</v>
      </c>
      <c r="I894" s="178" t="s">
        <v>3173</v>
      </c>
      <c r="J894" s="178" t="s">
        <v>253</v>
      </c>
      <c r="K894" s="178" t="s">
        <v>3174</v>
      </c>
      <c r="L894" s="183" t="s">
        <v>3175</v>
      </c>
      <c r="M894" s="56" t="s">
        <v>2741</v>
      </c>
      <c r="N894" s="178">
        <v>2</v>
      </c>
      <c r="O894" s="178"/>
      <c r="P894" s="183" t="s">
        <v>3176</v>
      </c>
      <c r="Q894" s="84"/>
      <c r="R894" s="190"/>
    </row>
    <row r="895" spans="1:19" ht="33" hidden="1" customHeight="1">
      <c r="A895" s="185" t="s">
        <v>3177</v>
      </c>
      <c r="B895" s="178" t="s">
        <v>47</v>
      </c>
      <c r="C895" s="178" t="s">
        <v>3123</v>
      </c>
      <c r="D895" s="179" t="s">
        <v>39</v>
      </c>
      <c r="E895" s="180">
        <v>45659</v>
      </c>
      <c r="F895" s="180">
        <v>45749</v>
      </c>
      <c r="G895" s="178" t="s">
        <v>279</v>
      </c>
      <c r="H895" s="178" t="s">
        <v>3119</v>
      </c>
      <c r="I895" s="178" t="s">
        <v>3178</v>
      </c>
      <c r="J895" s="178" t="s">
        <v>56</v>
      </c>
      <c r="K895" s="178" t="s">
        <v>3179</v>
      </c>
      <c r="L895" s="179" t="s">
        <v>3180</v>
      </c>
      <c r="M895" s="56" t="s">
        <v>2824</v>
      </c>
      <c r="N895" s="178">
        <v>1</v>
      </c>
      <c r="O895" s="178"/>
      <c r="P895" s="182" t="s">
        <v>3181</v>
      </c>
      <c r="Q895" s="84"/>
      <c r="R895" s="190"/>
    </row>
    <row r="896" spans="1:19" ht="45" customHeight="1">
      <c r="A896" s="207" t="s">
        <v>3182</v>
      </c>
      <c r="B896" s="197" t="s">
        <v>53</v>
      </c>
      <c r="C896" s="197" t="s">
        <v>3123</v>
      </c>
      <c r="D896" s="124" t="s">
        <v>39</v>
      </c>
      <c r="E896" s="198">
        <v>45663</v>
      </c>
      <c r="F896" s="180">
        <v>45753</v>
      </c>
      <c r="G896" s="197" t="s">
        <v>71</v>
      </c>
      <c r="H896" s="197" t="s">
        <v>2156</v>
      </c>
      <c r="I896" s="197" t="s">
        <v>2966</v>
      </c>
      <c r="J896" s="197" t="s">
        <v>56</v>
      </c>
      <c r="K896" s="197" t="s">
        <v>3183</v>
      </c>
      <c r="L896" s="208" t="s">
        <v>3184</v>
      </c>
      <c r="M896" s="59" t="s">
        <v>2824</v>
      </c>
      <c r="N896" s="197">
        <v>3</v>
      </c>
      <c r="O896" s="197"/>
      <c r="P896" s="202" t="s">
        <v>3185</v>
      </c>
      <c r="Q896" s="84"/>
      <c r="R896" s="209"/>
    </row>
    <row r="897" spans="1:19" ht="45" customHeight="1">
      <c r="A897" s="210" t="s">
        <v>3186</v>
      </c>
      <c r="B897" s="197" t="s">
        <v>53</v>
      </c>
      <c r="C897" s="197" t="s">
        <v>3123</v>
      </c>
      <c r="D897" s="124" t="s">
        <v>39</v>
      </c>
      <c r="E897" s="198">
        <v>45663</v>
      </c>
      <c r="F897" s="180">
        <v>45694</v>
      </c>
      <c r="G897" s="197" t="s">
        <v>71</v>
      </c>
      <c r="H897" s="197" t="s">
        <v>2895</v>
      </c>
      <c r="I897" s="197" t="s">
        <v>2966</v>
      </c>
      <c r="J897" s="197" t="s">
        <v>56</v>
      </c>
      <c r="K897" s="197" t="s">
        <v>3187</v>
      </c>
      <c r="L897" s="208" t="s">
        <v>3188</v>
      </c>
      <c r="M897" s="59" t="s">
        <v>2741</v>
      </c>
      <c r="N897" s="197">
        <v>3</v>
      </c>
      <c r="O897" s="197"/>
      <c r="P897" s="202" t="s">
        <v>3189</v>
      </c>
      <c r="Q897" s="84"/>
      <c r="R897" s="209"/>
    </row>
    <row r="898" spans="1:19" ht="45" customHeight="1">
      <c r="A898" s="210" t="s">
        <v>3190</v>
      </c>
      <c r="B898" s="197" t="s">
        <v>53</v>
      </c>
      <c r="C898" s="197" t="s">
        <v>3123</v>
      </c>
      <c r="D898" s="124" t="s">
        <v>39</v>
      </c>
      <c r="E898" s="198">
        <v>45663</v>
      </c>
      <c r="F898" s="180">
        <v>45753</v>
      </c>
      <c r="G898" s="197" t="s">
        <v>71</v>
      </c>
      <c r="H898" s="197" t="s">
        <v>3191</v>
      </c>
      <c r="I898" s="197"/>
      <c r="J898" s="197"/>
      <c r="K898" s="197"/>
      <c r="L898" s="208"/>
      <c r="M898" s="59"/>
      <c r="N898" s="197"/>
      <c r="O898" s="197"/>
      <c r="P898" s="202"/>
      <c r="Q898" s="84"/>
      <c r="R898" s="209"/>
    </row>
    <row r="899" spans="1:19" ht="45" hidden="1" customHeight="1">
      <c r="A899" s="210" t="s">
        <v>3192</v>
      </c>
      <c r="B899" s="197" t="s">
        <v>47</v>
      </c>
      <c r="C899" s="197" t="s">
        <v>3123</v>
      </c>
      <c r="D899" s="124" t="s">
        <v>39</v>
      </c>
      <c r="E899" s="198">
        <v>45666</v>
      </c>
      <c r="F899" s="180">
        <v>45756</v>
      </c>
      <c r="G899" s="197" t="s">
        <v>71</v>
      </c>
      <c r="H899" s="197" t="s">
        <v>3193</v>
      </c>
      <c r="I899" s="197" t="s">
        <v>3194</v>
      </c>
      <c r="J899" s="197" t="s">
        <v>56</v>
      </c>
      <c r="K899" s="197" t="s">
        <v>3195</v>
      </c>
      <c r="L899" s="208" t="s">
        <v>3196</v>
      </c>
      <c r="M899" s="59" t="s">
        <v>2824</v>
      </c>
      <c r="N899" s="197">
        <v>1</v>
      </c>
      <c r="O899" s="197"/>
      <c r="P899" s="202" t="s">
        <v>3197</v>
      </c>
      <c r="Q899" s="84"/>
      <c r="R899" s="209"/>
    </row>
    <row r="900" spans="1:19" ht="45" customHeight="1">
      <c r="A900" s="210" t="s">
        <v>3198</v>
      </c>
      <c r="B900" s="197" t="s">
        <v>53</v>
      </c>
      <c r="C900" s="197" t="s">
        <v>3123</v>
      </c>
      <c r="D900" s="124" t="s">
        <v>39</v>
      </c>
      <c r="E900" s="198">
        <v>45666</v>
      </c>
      <c r="F900" s="180">
        <v>45697</v>
      </c>
      <c r="G900" s="197" t="s">
        <v>71</v>
      </c>
      <c r="H900" s="197" t="s">
        <v>2739</v>
      </c>
      <c r="I900" s="197" t="s">
        <v>3039</v>
      </c>
      <c r="J900" s="197" t="s">
        <v>56</v>
      </c>
      <c r="K900" s="197" t="s">
        <v>3199</v>
      </c>
      <c r="L900" s="208" t="s">
        <v>3200</v>
      </c>
      <c r="M900" s="59" t="s">
        <v>2741</v>
      </c>
      <c r="N900" s="197">
        <v>3</v>
      </c>
      <c r="O900" s="197"/>
      <c r="P900" s="202" t="s">
        <v>3201</v>
      </c>
      <c r="Q900" s="84"/>
      <c r="R900" s="209"/>
    </row>
    <row r="901" spans="1:19" ht="45" hidden="1" customHeight="1">
      <c r="A901" s="196" t="s">
        <v>3202</v>
      </c>
      <c r="B901" s="197" t="s">
        <v>38</v>
      </c>
      <c r="C901" s="197" t="s">
        <v>3123</v>
      </c>
      <c r="D901" s="124" t="s">
        <v>39</v>
      </c>
      <c r="E901" s="198">
        <v>45671</v>
      </c>
      <c r="F901" s="180">
        <v>45702</v>
      </c>
      <c r="G901" s="197" t="s">
        <v>108</v>
      </c>
      <c r="H901" s="199" t="s">
        <v>3203</v>
      </c>
      <c r="I901" s="199" t="s">
        <v>2768</v>
      </c>
      <c r="J901" s="197" t="s">
        <v>1378</v>
      </c>
      <c r="K901" s="200" t="s">
        <v>3204</v>
      </c>
      <c r="L901" s="54" t="s">
        <v>3149</v>
      </c>
      <c r="M901" s="201" t="s">
        <v>2735</v>
      </c>
      <c r="N901" s="124">
        <v>3</v>
      </c>
      <c r="O901" s="124"/>
      <c r="P901" s="202" t="s">
        <v>3150</v>
      </c>
      <c r="Q901" s="105">
        <v>45695</v>
      </c>
      <c r="R901" s="190" t="s">
        <v>45</v>
      </c>
    </row>
    <row r="902" spans="1:19" ht="45" hidden="1" customHeight="1">
      <c r="A902" s="196" t="s">
        <v>3205</v>
      </c>
      <c r="B902" s="197" t="s">
        <v>47</v>
      </c>
      <c r="C902" s="197" t="s">
        <v>3123</v>
      </c>
      <c r="D902" s="124" t="s">
        <v>39</v>
      </c>
      <c r="E902" s="198">
        <v>45672</v>
      </c>
      <c r="F902" s="180">
        <v>45762</v>
      </c>
      <c r="G902" s="197" t="s">
        <v>279</v>
      </c>
      <c r="H902" s="199" t="s">
        <v>3119</v>
      </c>
      <c r="I902" s="199" t="s">
        <v>2220</v>
      </c>
      <c r="J902" s="197" t="s">
        <v>56</v>
      </c>
      <c r="K902" s="200" t="s">
        <v>3206</v>
      </c>
      <c r="L902" s="211" t="s">
        <v>3207</v>
      </c>
      <c r="M902" s="201" t="s">
        <v>2824</v>
      </c>
      <c r="N902" s="124">
        <v>1</v>
      </c>
      <c r="O902" s="124"/>
      <c r="P902" s="212" t="s">
        <v>3208</v>
      </c>
      <c r="Q902" s="84"/>
      <c r="R902" s="190"/>
    </row>
    <row r="903" spans="1:19" ht="45" hidden="1" customHeight="1">
      <c r="A903" s="196" t="s">
        <v>3209</v>
      </c>
      <c r="B903" s="197" t="s">
        <v>38</v>
      </c>
      <c r="C903" s="197" t="s">
        <v>886</v>
      </c>
      <c r="D903" s="124" t="s">
        <v>117</v>
      </c>
      <c r="E903" s="198">
        <v>45665</v>
      </c>
      <c r="F903" s="180" t="s">
        <v>42</v>
      </c>
      <c r="G903" s="197" t="s">
        <v>493</v>
      </c>
      <c r="H903" s="199" t="s">
        <v>3210</v>
      </c>
      <c r="I903" s="199" t="s">
        <v>42</v>
      </c>
      <c r="J903" s="197" t="s">
        <v>493</v>
      </c>
      <c r="K903" s="200" t="s">
        <v>493</v>
      </c>
      <c r="L903" s="54"/>
      <c r="M903" s="201" t="s">
        <v>2735</v>
      </c>
      <c r="N903" s="124">
        <v>3</v>
      </c>
      <c r="O903" s="124"/>
      <c r="P903" s="202" t="s">
        <v>3211</v>
      </c>
      <c r="Q903" s="105">
        <v>45695</v>
      </c>
      <c r="R903" s="190" t="s">
        <v>45</v>
      </c>
    </row>
    <row r="904" spans="1:19" ht="45" hidden="1" customHeight="1">
      <c r="A904" s="196" t="s">
        <v>3212</v>
      </c>
      <c r="B904" s="197" t="s">
        <v>38</v>
      </c>
      <c r="C904" s="197" t="s">
        <v>3123</v>
      </c>
      <c r="D904" s="124" t="s">
        <v>39</v>
      </c>
      <c r="E904" s="198">
        <v>45673</v>
      </c>
      <c r="F904" s="180">
        <v>45704</v>
      </c>
      <c r="G904" s="197" t="s">
        <v>108</v>
      </c>
      <c r="H904" s="199" t="s">
        <v>3213</v>
      </c>
      <c r="I904" s="213" t="s">
        <v>2966</v>
      </c>
      <c r="J904" s="197" t="s">
        <v>56</v>
      </c>
      <c r="K904" s="214" t="s">
        <v>3214</v>
      </c>
      <c r="L904" s="54" t="s">
        <v>3215</v>
      </c>
      <c r="M904" s="201" t="s">
        <v>2735</v>
      </c>
      <c r="N904" s="124">
        <v>2</v>
      </c>
      <c r="O904" s="124"/>
      <c r="P904" s="202" t="s">
        <v>3216</v>
      </c>
      <c r="Q904" s="105">
        <v>45695</v>
      </c>
      <c r="R904" s="190" t="s">
        <v>45</v>
      </c>
    </row>
    <row r="905" spans="1:19" ht="45" hidden="1" customHeight="1">
      <c r="A905" s="196" t="s">
        <v>3217</v>
      </c>
      <c r="B905" s="197" t="s">
        <v>38</v>
      </c>
      <c r="C905" s="197" t="s">
        <v>3123</v>
      </c>
      <c r="D905" s="124" t="s">
        <v>39</v>
      </c>
      <c r="E905" s="198">
        <v>45673</v>
      </c>
      <c r="F905" s="180">
        <v>45704</v>
      </c>
      <c r="G905" s="197" t="s">
        <v>108</v>
      </c>
      <c r="H905" s="199" t="s">
        <v>3218</v>
      </c>
      <c r="I905" s="199" t="s">
        <v>3219</v>
      </c>
      <c r="J905" s="197" t="s">
        <v>56</v>
      </c>
      <c r="K905" s="200" t="s">
        <v>3220</v>
      </c>
      <c r="L905" s="54" t="s">
        <v>3221</v>
      </c>
      <c r="M905" s="201" t="s">
        <v>2735</v>
      </c>
      <c r="N905" s="124">
        <v>2</v>
      </c>
      <c r="O905" s="124"/>
      <c r="P905" s="202" t="s">
        <v>3222</v>
      </c>
      <c r="Q905" s="105">
        <v>45695</v>
      </c>
      <c r="R905" s="190" t="s">
        <v>45</v>
      </c>
    </row>
    <row r="906" spans="1:19" ht="47.25">
      <c r="A906" s="196" t="s">
        <v>3223</v>
      </c>
      <c r="B906" s="197" t="s">
        <v>53</v>
      </c>
      <c r="C906" s="197" t="s">
        <v>3123</v>
      </c>
      <c r="D906" s="124" t="s">
        <v>39</v>
      </c>
      <c r="E906" s="198">
        <v>45673</v>
      </c>
      <c r="F906" s="180">
        <v>45704</v>
      </c>
      <c r="G906" s="197" t="s">
        <v>71</v>
      </c>
      <c r="H906" s="199" t="s">
        <v>3224</v>
      </c>
      <c r="I906" s="199" t="s">
        <v>3225</v>
      </c>
      <c r="J906" s="197" t="s">
        <v>3167</v>
      </c>
      <c r="K906" s="200" t="s">
        <v>3226</v>
      </c>
      <c r="L906" s="54" t="s">
        <v>3227</v>
      </c>
      <c r="M906" s="201" t="s">
        <v>2741</v>
      </c>
      <c r="N906" s="124">
        <v>2</v>
      </c>
      <c r="O906" s="54"/>
      <c r="P906" s="54" t="s">
        <v>3228</v>
      </c>
      <c r="Q906" s="84"/>
      <c r="R906" s="190"/>
    </row>
    <row r="907" spans="1:19" ht="47.25">
      <c r="A907" s="196" t="s">
        <v>3229</v>
      </c>
      <c r="B907" s="197" t="s">
        <v>53</v>
      </c>
      <c r="C907" s="197" t="s">
        <v>3123</v>
      </c>
      <c r="D907" s="124" t="s">
        <v>39</v>
      </c>
      <c r="E907" s="198">
        <v>45674</v>
      </c>
      <c r="F907" s="180">
        <v>45705</v>
      </c>
      <c r="G907" s="197" t="s">
        <v>71</v>
      </c>
      <c r="H907" s="199" t="s">
        <v>2739</v>
      </c>
      <c r="I907" s="199" t="s">
        <v>3039</v>
      </c>
      <c r="J907" s="197" t="s">
        <v>56</v>
      </c>
      <c r="K907" s="200" t="s">
        <v>3230</v>
      </c>
      <c r="L907" s="54" t="s">
        <v>3231</v>
      </c>
      <c r="M907" s="201" t="s">
        <v>2741</v>
      </c>
      <c r="N907" s="124">
        <v>2</v>
      </c>
      <c r="O907" s="54"/>
      <c r="P907" s="54" t="s">
        <v>3232</v>
      </c>
      <c r="Q907" s="84"/>
      <c r="R907" s="190"/>
    </row>
    <row r="908" spans="1:19" ht="47.25" hidden="1">
      <c r="A908" s="196" t="s">
        <v>3233</v>
      </c>
      <c r="B908" s="197" t="s">
        <v>38</v>
      </c>
      <c r="C908" s="197" t="s">
        <v>886</v>
      </c>
      <c r="D908" s="124" t="s">
        <v>117</v>
      </c>
      <c r="E908" s="198">
        <v>45674</v>
      </c>
      <c r="F908" s="180" t="s">
        <v>42</v>
      </c>
      <c r="G908" s="197" t="s">
        <v>2250</v>
      </c>
      <c r="H908" s="199" t="s">
        <v>3234</v>
      </c>
      <c r="I908" s="199" t="s">
        <v>3235</v>
      </c>
      <c r="J908" s="197" t="s">
        <v>56</v>
      </c>
      <c r="K908" s="200" t="s">
        <v>42</v>
      </c>
      <c r="L908" s="54" t="s">
        <v>3236</v>
      </c>
      <c r="M908" s="201" t="s">
        <v>2735</v>
      </c>
      <c r="N908" s="124">
        <v>2</v>
      </c>
      <c r="O908" s="54"/>
      <c r="P908" s="54" t="s">
        <v>3237</v>
      </c>
      <c r="Q908" s="105">
        <v>45695</v>
      </c>
      <c r="R908" s="190" t="s">
        <v>45</v>
      </c>
    </row>
    <row r="909" spans="1:19" ht="78.75">
      <c r="A909" s="196" t="s">
        <v>3238</v>
      </c>
      <c r="B909" s="197" t="s">
        <v>53</v>
      </c>
      <c r="C909" s="197" t="s">
        <v>3123</v>
      </c>
      <c r="D909" s="124" t="s">
        <v>39</v>
      </c>
      <c r="E909" s="198">
        <v>45674</v>
      </c>
      <c r="F909" s="180">
        <v>45705</v>
      </c>
      <c r="G909" s="197" t="s">
        <v>71</v>
      </c>
      <c r="H909" s="199" t="s">
        <v>3239</v>
      </c>
      <c r="I909" s="199" t="s">
        <v>3240</v>
      </c>
      <c r="J909" s="197" t="s">
        <v>56</v>
      </c>
      <c r="K909" s="200" t="s">
        <v>3241</v>
      </c>
      <c r="L909" s="54" t="s">
        <v>3242</v>
      </c>
      <c r="M909" s="201" t="s">
        <v>2741</v>
      </c>
      <c r="N909" s="124">
        <v>3</v>
      </c>
      <c r="O909" s="54"/>
      <c r="P909" s="54" t="s">
        <v>3243</v>
      </c>
      <c r="Q909" s="84"/>
      <c r="R909" s="190"/>
    </row>
    <row r="910" spans="1:19" ht="47.25">
      <c r="A910" s="196" t="s">
        <v>3244</v>
      </c>
      <c r="B910" s="197" t="s">
        <v>53</v>
      </c>
      <c r="C910" s="197" t="s">
        <v>3123</v>
      </c>
      <c r="D910" s="124" t="s">
        <v>39</v>
      </c>
      <c r="E910" s="198">
        <v>45674</v>
      </c>
      <c r="F910" s="180">
        <v>45705</v>
      </c>
      <c r="G910" s="197" t="s">
        <v>71</v>
      </c>
      <c r="H910" s="199" t="s">
        <v>1921</v>
      </c>
      <c r="I910" s="199" t="s">
        <v>2966</v>
      </c>
      <c r="J910" s="197" t="s">
        <v>56</v>
      </c>
      <c r="K910" s="200" t="s">
        <v>3245</v>
      </c>
      <c r="L910" s="54" t="s">
        <v>3246</v>
      </c>
      <c r="M910" s="201" t="s">
        <v>2824</v>
      </c>
      <c r="N910" s="124">
        <v>3</v>
      </c>
      <c r="O910" s="54"/>
      <c r="P910" s="54" t="s">
        <v>3247</v>
      </c>
      <c r="Q910" s="84"/>
      <c r="R910" s="190"/>
      <c r="S910" s="196"/>
    </row>
    <row r="911" spans="1:19" ht="31.5">
      <c r="A911" s="196" t="s">
        <v>3248</v>
      </c>
      <c r="B911" s="197" t="s">
        <v>53</v>
      </c>
      <c r="C911" s="197" t="s">
        <v>3123</v>
      </c>
      <c r="D911" s="124" t="s">
        <v>39</v>
      </c>
      <c r="E911" s="198">
        <v>45679</v>
      </c>
      <c r="F911" s="180">
        <v>45710</v>
      </c>
      <c r="G911" s="197" t="s">
        <v>2373</v>
      </c>
      <c r="H911" s="199" t="s">
        <v>3249</v>
      </c>
      <c r="I911" s="199" t="s">
        <v>3250</v>
      </c>
      <c r="J911" s="197" t="s">
        <v>56</v>
      </c>
      <c r="K911" s="200" t="s">
        <v>3251</v>
      </c>
      <c r="L911" s="54" t="s">
        <v>3252</v>
      </c>
      <c r="M911" s="201" t="s">
        <v>2824</v>
      </c>
      <c r="N911" s="124">
        <v>3</v>
      </c>
      <c r="O911" s="54"/>
      <c r="P911" s="54" t="s">
        <v>3253</v>
      </c>
      <c r="Q911" s="84"/>
      <c r="R911" s="190"/>
      <c r="S911" s="196"/>
    </row>
    <row r="912" spans="1:19" ht="47.25" hidden="1">
      <c r="A912" s="196" t="s">
        <v>3254</v>
      </c>
      <c r="B912" s="197" t="s">
        <v>38</v>
      </c>
      <c r="C912" s="197" t="s">
        <v>3123</v>
      </c>
      <c r="D912" s="124" t="s">
        <v>39</v>
      </c>
      <c r="E912" s="198">
        <v>45679</v>
      </c>
      <c r="F912" s="180">
        <v>45710</v>
      </c>
      <c r="G912" s="197" t="s">
        <v>71</v>
      </c>
      <c r="H912" s="199" t="s">
        <v>3255</v>
      </c>
      <c r="I912" s="199" t="s">
        <v>3256</v>
      </c>
      <c r="J912" s="197" t="s">
        <v>56</v>
      </c>
      <c r="K912" s="200" t="s">
        <v>3257</v>
      </c>
      <c r="L912" s="54" t="s">
        <v>3258</v>
      </c>
      <c r="M912" s="201" t="s">
        <v>2735</v>
      </c>
      <c r="N912" s="124">
        <v>3</v>
      </c>
      <c r="O912" s="54"/>
      <c r="P912" s="54" t="s">
        <v>3259</v>
      </c>
      <c r="Q912" s="105">
        <v>45695</v>
      </c>
      <c r="R912" s="190" t="s">
        <v>45</v>
      </c>
      <c r="S912" s="196"/>
    </row>
    <row r="913" spans="1:19" ht="78.75">
      <c r="A913" s="196" t="s">
        <v>3260</v>
      </c>
      <c r="B913" s="197" t="s">
        <v>53</v>
      </c>
      <c r="C913" s="197" t="s">
        <v>3123</v>
      </c>
      <c r="D913" s="124" t="s">
        <v>39</v>
      </c>
      <c r="E913" s="198">
        <v>45681</v>
      </c>
      <c r="F913" s="180">
        <v>45712</v>
      </c>
      <c r="G913" s="197" t="s">
        <v>71</v>
      </c>
      <c r="H913" s="199" t="s">
        <v>2739</v>
      </c>
      <c r="I913" s="199" t="s">
        <v>2966</v>
      </c>
      <c r="J913" s="197" t="s">
        <v>56</v>
      </c>
      <c r="K913" s="200" t="s">
        <v>3261</v>
      </c>
      <c r="L913" s="54" t="s">
        <v>3262</v>
      </c>
      <c r="M913" s="201" t="s">
        <v>2824</v>
      </c>
      <c r="N913" s="124">
        <v>3</v>
      </c>
      <c r="O913" s="54"/>
      <c r="P913" s="54" t="s">
        <v>3263</v>
      </c>
      <c r="Q913" s="84"/>
      <c r="R913" s="190"/>
      <c r="S913" s="196"/>
    </row>
    <row r="914" spans="1:19" ht="63">
      <c r="A914" s="196" t="s">
        <v>3264</v>
      </c>
      <c r="B914" s="197" t="s">
        <v>53</v>
      </c>
      <c r="C914" s="197" t="s">
        <v>3123</v>
      </c>
      <c r="D914" s="124" t="s">
        <v>39</v>
      </c>
      <c r="E914" s="198">
        <v>45686</v>
      </c>
      <c r="F914" s="180" t="s">
        <v>3265</v>
      </c>
      <c r="G914" s="197" t="s">
        <v>2373</v>
      </c>
      <c r="H914" s="199" t="s">
        <v>3266</v>
      </c>
      <c r="I914" s="199" t="s">
        <v>2966</v>
      </c>
      <c r="J914" s="197" t="s">
        <v>56</v>
      </c>
      <c r="K914" s="200" t="s">
        <v>3267</v>
      </c>
      <c r="L914" s="54" t="s">
        <v>3268</v>
      </c>
      <c r="M914" s="201" t="s">
        <v>2824</v>
      </c>
      <c r="N914" s="124">
        <v>3</v>
      </c>
      <c r="O914" s="54"/>
      <c r="P914" s="54" t="s">
        <v>3269</v>
      </c>
      <c r="Q914" s="84"/>
      <c r="R914" s="190"/>
      <c r="S914" s="196"/>
    </row>
    <row r="915" spans="1:19" ht="15.75">
      <c r="A915" s="196" t="s">
        <v>3270</v>
      </c>
      <c r="B915" s="197" t="s">
        <v>53</v>
      </c>
      <c r="C915" s="197" t="s">
        <v>3123</v>
      </c>
      <c r="D915" s="124" t="s">
        <v>39</v>
      </c>
      <c r="E915" s="198">
        <v>45687</v>
      </c>
      <c r="F915" s="180" t="s">
        <v>3271</v>
      </c>
      <c r="G915" s="197" t="s">
        <v>2373</v>
      </c>
      <c r="H915" s="197" t="s">
        <v>2895</v>
      </c>
      <c r="I915" s="199" t="s">
        <v>679</v>
      </c>
      <c r="J915" s="197" t="s">
        <v>56</v>
      </c>
      <c r="K915" s="200" t="s">
        <v>3272</v>
      </c>
      <c r="L915" s="54" t="s">
        <v>3273</v>
      </c>
      <c r="M915" s="201" t="s">
        <v>2824</v>
      </c>
      <c r="N915" s="124">
        <v>3</v>
      </c>
      <c r="O915" s="54"/>
      <c r="P915" s="54" t="s">
        <v>3274</v>
      </c>
      <c r="Q915" s="84"/>
      <c r="R915" s="190"/>
      <c r="S915" s="196"/>
    </row>
    <row r="916" spans="1:19" ht="31.5">
      <c r="A916" s="196" t="s">
        <v>3275</v>
      </c>
      <c r="B916" s="197" t="s">
        <v>53</v>
      </c>
      <c r="C916" s="197" t="s">
        <v>3123</v>
      </c>
      <c r="D916" s="124" t="s">
        <v>39</v>
      </c>
      <c r="E916" s="198">
        <v>45687</v>
      </c>
      <c r="F916" s="180" t="s">
        <v>3271</v>
      </c>
      <c r="G916" s="197" t="s">
        <v>2373</v>
      </c>
      <c r="H916" s="197" t="s">
        <v>2895</v>
      </c>
      <c r="I916" s="199" t="s">
        <v>3276</v>
      </c>
      <c r="J916" s="197" t="s">
        <v>56</v>
      </c>
      <c r="K916" s="200" t="s">
        <v>3277</v>
      </c>
      <c r="L916" s="54" t="s">
        <v>3278</v>
      </c>
      <c r="M916" s="201" t="s">
        <v>2824</v>
      </c>
      <c r="N916" s="124">
        <v>3</v>
      </c>
      <c r="O916" s="54"/>
      <c r="P916" s="54" t="s">
        <v>3279</v>
      </c>
      <c r="Q916" s="84"/>
      <c r="R916" s="190"/>
      <c r="S916" s="196"/>
    </row>
    <row r="917" spans="1:19" ht="47.25">
      <c r="A917" s="196" t="s">
        <v>3280</v>
      </c>
      <c r="B917" s="197" t="s">
        <v>53</v>
      </c>
      <c r="C917" s="197" t="s">
        <v>3123</v>
      </c>
      <c r="D917" s="124" t="s">
        <v>39</v>
      </c>
      <c r="E917" s="198">
        <v>45688</v>
      </c>
      <c r="F917" s="180">
        <v>45716</v>
      </c>
      <c r="G917" s="197" t="s">
        <v>2373</v>
      </c>
      <c r="H917" s="197" t="s">
        <v>2895</v>
      </c>
      <c r="I917" s="199" t="s">
        <v>2220</v>
      </c>
      <c r="J917" s="197" t="s">
        <v>56</v>
      </c>
      <c r="K917" s="200" t="s">
        <v>3281</v>
      </c>
      <c r="L917" s="54" t="s">
        <v>3282</v>
      </c>
      <c r="M917" s="201" t="s">
        <v>2824</v>
      </c>
      <c r="N917" s="124">
        <v>3</v>
      </c>
      <c r="O917" s="54"/>
      <c r="P917" s="54" t="s">
        <v>3283</v>
      </c>
      <c r="Q917" s="84"/>
      <c r="R917" s="190"/>
      <c r="S917" s="196"/>
    </row>
    <row r="918" spans="1:19" ht="78.75">
      <c r="A918" s="196" t="s">
        <v>3284</v>
      </c>
      <c r="B918" s="197" t="s">
        <v>53</v>
      </c>
      <c r="C918" s="197" t="s">
        <v>3123</v>
      </c>
      <c r="D918" s="124" t="s">
        <v>39</v>
      </c>
      <c r="E918" s="198">
        <v>45691</v>
      </c>
      <c r="F918" s="180">
        <v>45719</v>
      </c>
      <c r="G918" s="197" t="s">
        <v>71</v>
      </c>
      <c r="H918" s="199" t="s">
        <v>2783</v>
      </c>
      <c r="I918" s="199" t="s">
        <v>2539</v>
      </c>
      <c r="J918" s="197" t="s">
        <v>56</v>
      </c>
      <c r="K918" s="200" t="s">
        <v>3285</v>
      </c>
      <c r="L918" s="54" t="s">
        <v>3286</v>
      </c>
      <c r="M918" s="201" t="s">
        <v>2824</v>
      </c>
      <c r="N918" s="124">
        <v>3</v>
      </c>
      <c r="O918" s="54"/>
      <c r="P918" s="54" t="s">
        <v>3287</v>
      </c>
      <c r="Q918" s="84"/>
      <c r="R918" s="190"/>
      <c r="S918" s="196"/>
    </row>
    <row r="919" spans="1:19" ht="63">
      <c r="A919" s="196" t="s">
        <v>3288</v>
      </c>
      <c r="B919" s="197" t="s">
        <v>53</v>
      </c>
      <c r="C919" s="197" t="s">
        <v>3123</v>
      </c>
      <c r="D919" s="124" t="s">
        <v>39</v>
      </c>
      <c r="E919" s="198">
        <v>45691</v>
      </c>
      <c r="F919" s="180">
        <v>45720</v>
      </c>
      <c r="G919" s="197" t="s">
        <v>71</v>
      </c>
      <c r="H919" s="199" t="s">
        <v>3266</v>
      </c>
      <c r="I919" s="199" t="s">
        <v>3289</v>
      </c>
      <c r="J919" s="197" t="s">
        <v>56</v>
      </c>
      <c r="K919" s="200" t="s">
        <v>3290</v>
      </c>
      <c r="L919" s="54" t="s">
        <v>3291</v>
      </c>
      <c r="M919" s="201" t="s">
        <v>3292</v>
      </c>
      <c r="N919" s="124">
        <v>3</v>
      </c>
      <c r="O919" s="54"/>
      <c r="P919" s="54" t="s">
        <v>3293</v>
      </c>
      <c r="Q919" s="84"/>
      <c r="R919" s="190"/>
      <c r="S919" s="196"/>
    </row>
    <row r="920" spans="1:19" ht="47.25">
      <c r="A920" s="196" t="s">
        <v>3294</v>
      </c>
      <c r="B920" s="197" t="s">
        <v>53</v>
      </c>
      <c r="C920" s="197" t="s">
        <v>3123</v>
      </c>
      <c r="D920" s="124" t="s">
        <v>39</v>
      </c>
      <c r="E920" s="198">
        <v>45692</v>
      </c>
      <c r="F920" s="180">
        <v>45720</v>
      </c>
      <c r="G920" s="197" t="s">
        <v>71</v>
      </c>
      <c r="H920" s="199" t="s">
        <v>3295</v>
      </c>
      <c r="I920" s="199" t="s">
        <v>2539</v>
      </c>
      <c r="J920" s="197" t="s">
        <v>56</v>
      </c>
      <c r="K920" s="200" t="s">
        <v>3296</v>
      </c>
      <c r="L920" s="54" t="s">
        <v>3297</v>
      </c>
      <c r="M920" s="201" t="s">
        <v>2824</v>
      </c>
      <c r="N920" s="124">
        <v>3</v>
      </c>
      <c r="O920" s="54"/>
      <c r="P920" s="54" t="s">
        <v>3298</v>
      </c>
      <c r="Q920" s="84"/>
      <c r="R920" s="190"/>
      <c r="S920" s="196"/>
    </row>
    <row r="921" spans="1:19" ht="31.5" hidden="1">
      <c r="A921" s="196" t="s">
        <v>3299</v>
      </c>
      <c r="B921" s="197" t="s">
        <v>38</v>
      </c>
      <c r="C921" s="197" t="s">
        <v>3123</v>
      </c>
      <c r="D921" s="124" t="s">
        <v>117</v>
      </c>
      <c r="E921" s="198">
        <v>45693</v>
      </c>
      <c r="F921" s="180">
        <v>45721</v>
      </c>
      <c r="G921" s="197" t="s">
        <v>71</v>
      </c>
      <c r="H921" s="199" t="s">
        <v>1481</v>
      </c>
      <c r="I921" s="199" t="s">
        <v>3300</v>
      </c>
      <c r="J921" s="197" t="s">
        <v>3301</v>
      </c>
      <c r="K921" s="200" t="s">
        <v>3302</v>
      </c>
      <c r="L921" s="54" t="s">
        <v>3303</v>
      </c>
      <c r="M921" s="201" t="s">
        <v>3304</v>
      </c>
      <c r="N921" s="124">
        <v>1</v>
      </c>
      <c r="O921" s="54"/>
      <c r="P921" s="54" t="s">
        <v>3305</v>
      </c>
      <c r="Q921" s="84"/>
      <c r="R921" s="190"/>
      <c r="S921" s="196"/>
    </row>
    <row r="922" spans="1:19" ht="47.25" hidden="1">
      <c r="A922" s="196" t="s">
        <v>3306</v>
      </c>
      <c r="B922" s="197" t="s">
        <v>47</v>
      </c>
      <c r="C922" s="197" t="s">
        <v>3123</v>
      </c>
      <c r="D922" s="124" t="s">
        <v>39</v>
      </c>
      <c r="E922" s="198">
        <v>45694</v>
      </c>
      <c r="F922" s="180">
        <v>45722</v>
      </c>
      <c r="G922" s="197" t="s">
        <v>279</v>
      </c>
      <c r="H922" s="199" t="s">
        <v>1841</v>
      </c>
      <c r="I922" s="199" t="s">
        <v>3307</v>
      </c>
      <c r="J922" s="197" t="s">
        <v>56</v>
      </c>
      <c r="K922" s="200" t="s">
        <v>3308</v>
      </c>
      <c r="L922" s="54" t="s">
        <v>3309</v>
      </c>
      <c r="M922" s="201" t="s">
        <v>2824</v>
      </c>
      <c r="N922" s="124">
        <v>3</v>
      </c>
      <c r="O922" s="54"/>
      <c r="P922" s="54" t="s">
        <v>3310</v>
      </c>
      <c r="Q922" s="84"/>
      <c r="R922" s="190"/>
      <c r="S922" s="196"/>
    </row>
    <row r="923" spans="1:19" ht="78.75">
      <c r="A923" s="196" t="s">
        <v>3311</v>
      </c>
      <c r="B923" s="197" t="s">
        <v>53</v>
      </c>
      <c r="C923" s="197" t="s">
        <v>3123</v>
      </c>
      <c r="D923" s="124" t="s">
        <v>39</v>
      </c>
      <c r="E923" s="198">
        <v>45695</v>
      </c>
      <c r="F923" s="180">
        <v>45723</v>
      </c>
      <c r="G923" s="197" t="s">
        <v>71</v>
      </c>
      <c r="H923" s="199" t="s">
        <v>3312</v>
      </c>
      <c r="I923" s="199" t="s">
        <v>3313</v>
      </c>
      <c r="J923" s="197" t="s">
        <v>56</v>
      </c>
      <c r="K923" s="200" t="s">
        <v>3314</v>
      </c>
      <c r="L923" s="54" t="s">
        <v>3315</v>
      </c>
      <c r="M923" s="201" t="s">
        <v>2824</v>
      </c>
      <c r="N923" s="124">
        <v>3</v>
      </c>
      <c r="O923" s="54"/>
      <c r="P923" s="54" t="s">
        <v>3316</v>
      </c>
      <c r="Q923" s="84"/>
      <c r="R923" s="190"/>
      <c r="S923" s="196"/>
    </row>
    <row r="924" spans="1:19" ht="47.25">
      <c r="A924" s="196" t="s">
        <v>3317</v>
      </c>
      <c r="B924" s="197" t="s">
        <v>53</v>
      </c>
      <c r="C924" s="197" t="s">
        <v>3123</v>
      </c>
      <c r="D924" s="124" t="s">
        <v>39</v>
      </c>
      <c r="E924" s="198">
        <v>45698</v>
      </c>
      <c r="F924" s="180">
        <v>45726</v>
      </c>
      <c r="G924" s="197" t="s">
        <v>71</v>
      </c>
      <c r="H924" s="199" t="s">
        <v>3318</v>
      </c>
      <c r="I924" s="199" t="s">
        <v>2966</v>
      </c>
      <c r="J924" s="197" t="s">
        <v>56</v>
      </c>
      <c r="K924" s="200" t="s">
        <v>3319</v>
      </c>
      <c r="L924" s="54" t="s">
        <v>3320</v>
      </c>
      <c r="M924" s="201" t="s">
        <v>2824</v>
      </c>
      <c r="N924" s="124">
        <v>3</v>
      </c>
      <c r="O924" s="54"/>
      <c r="P924" s="54" t="s">
        <v>3321</v>
      </c>
      <c r="Q924" s="84"/>
      <c r="R924" s="190"/>
      <c r="S924" s="196"/>
    </row>
    <row r="925" spans="1:19" ht="47.25">
      <c r="A925" s="196" t="s">
        <v>3322</v>
      </c>
      <c r="B925" s="197" t="s">
        <v>53</v>
      </c>
      <c r="C925" s="197" t="s">
        <v>3123</v>
      </c>
      <c r="D925" s="124" t="s">
        <v>39</v>
      </c>
      <c r="E925" s="198">
        <v>45699</v>
      </c>
      <c r="F925" s="198">
        <v>45727</v>
      </c>
      <c r="G925" s="197" t="s">
        <v>71</v>
      </c>
      <c r="H925" s="199" t="s">
        <v>2739</v>
      </c>
      <c r="I925" s="199" t="s">
        <v>1933</v>
      </c>
      <c r="J925" s="197" t="s">
        <v>316</v>
      </c>
      <c r="K925" s="200" t="s">
        <v>3323</v>
      </c>
      <c r="L925" s="54" t="s">
        <v>3324</v>
      </c>
      <c r="M925" s="201" t="s">
        <v>2824</v>
      </c>
      <c r="N925" s="124">
        <v>3</v>
      </c>
      <c r="O925" s="54"/>
      <c r="P925" s="54" t="s">
        <v>3325</v>
      </c>
      <c r="Q925" s="84"/>
      <c r="R925" s="190"/>
      <c r="S925" s="196"/>
    </row>
    <row r="926" spans="1:19" ht="31.5">
      <c r="A926" s="196" t="s">
        <v>3326</v>
      </c>
      <c r="B926" s="197" t="s">
        <v>53</v>
      </c>
      <c r="C926" s="197" t="s">
        <v>3123</v>
      </c>
      <c r="D926" s="124" t="s">
        <v>39</v>
      </c>
      <c r="E926" s="198">
        <v>45701</v>
      </c>
      <c r="F926" s="198">
        <v>45729</v>
      </c>
      <c r="G926" s="197" t="s">
        <v>2373</v>
      </c>
      <c r="H926" s="199" t="s">
        <v>2895</v>
      </c>
      <c r="I926" s="199" t="s">
        <v>2220</v>
      </c>
      <c r="J926" s="197" t="s">
        <v>56</v>
      </c>
      <c r="K926" s="200" t="s">
        <v>3327</v>
      </c>
      <c r="L926" s="54" t="s">
        <v>3328</v>
      </c>
      <c r="M926" s="201" t="s">
        <v>2824</v>
      </c>
      <c r="N926" s="124">
        <v>3</v>
      </c>
      <c r="O926" s="54"/>
      <c r="P926" s="54" t="s">
        <v>3329</v>
      </c>
      <c r="Q926" s="84"/>
      <c r="R926" s="190"/>
      <c r="S926" s="196"/>
    </row>
    <row r="927" spans="1:19" ht="63">
      <c r="A927" s="196" t="s">
        <v>3330</v>
      </c>
      <c r="B927" s="197" t="s">
        <v>53</v>
      </c>
      <c r="C927" s="197" t="s">
        <v>3123</v>
      </c>
      <c r="D927" s="124" t="s">
        <v>39</v>
      </c>
      <c r="E927" s="198">
        <v>45701</v>
      </c>
      <c r="F927" s="198">
        <v>45729</v>
      </c>
      <c r="G927" s="197" t="s">
        <v>71</v>
      </c>
      <c r="H927" s="199" t="s">
        <v>2393</v>
      </c>
      <c r="I927" s="199" t="s">
        <v>2539</v>
      </c>
      <c r="J927" s="197" t="s">
        <v>253</v>
      </c>
      <c r="K927" s="200" t="s">
        <v>3331</v>
      </c>
      <c r="L927" s="54" t="s">
        <v>3332</v>
      </c>
      <c r="M927" s="201" t="s">
        <v>2824</v>
      </c>
      <c r="N927" s="124">
        <v>3</v>
      </c>
      <c r="O927" s="54"/>
      <c r="P927" s="54" t="s">
        <v>3333</v>
      </c>
      <c r="Q927" s="84"/>
      <c r="R927" s="190"/>
      <c r="S927" s="196"/>
    </row>
    <row r="928" spans="1:19" ht="47.25">
      <c r="A928" s="196" t="s">
        <v>3334</v>
      </c>
      <c r="B928" s="197" t="s">
        <v>53</v>
      </c>
      <c r="C928" s="197" t="s">
        <v>886</v>
      </c>
      <c r="D928" s="124" t="s">
        <v>39</v>
      </c>
      <c r="E928" s="198">
        <v>45701</v>
      </c>
      <c r="F928" s="198">
        <v>45729</v>
      </c>
      <c r="G928" s="197" t="s">
        <v>71</v>
      </c>
      <c r="H928" s="199" t="s">
        <v>3335</v>
      </c>
      <c r="I928" s="199" t="s">
        <v>2220</v>
      </c>
      <c r="J928" s="197" t="s">
        <v>253</v>
      </c>
      <c r="K928" s="200"/>
      <c r="L928" s="54" t="s">
        <v>3336</v>
      </c>
      <c r="M928" s="201" t="s">
        <v>3337</v>
      </c>
      <c r="N928" s="124">
        <v>3</v>
      </c>
      <c r="O928" s="54"/>
      <c r="P928" s="54" t="s">
        <v>3338</v>
      </c>
      <c r="Q928" s="84"/>
      <c r="R928" s="190"/>
      <c r="S928" s="196"/>
    </row>
    <row r="929" spans="1:19" ht="63">
      <c r="A929" s="196" t="s">
        <v>3339</v>
      </c>
      <c r="B929" s="197" t="s">
        <v>53</v>
      </c>
      <c r="C929" s="197" t="s">
        <v>3123</v>
      </c>
      <c r="D929" s="124" t="s">
        <v>39</v>
      </c>
      <c r="E929" s="198">
        <v>45701</v>
      </c>
      <c r="F929" s="198">
        <v>45729</v>
      </c>
      <c r="G929" s="197" t="s">
        <v>71</v>
      </c>
      <c r="H929" s="199" t="s">
        <v>2156</v>
      </c>
      <c r="I929" s="199" t="s">
        <v>2966</v>
      </c>
      <c r="J929" s="197" t="s">
        <v>56</v>
      </c>
      <c r="K929" s="200" t="s">
        <v>3331</v>
      </c>
      <c r="L929" s="54" t="s">
        <v>3340</v>
      </c>
      <c r="M929" s="201" t="s">
        <v>2824</v>
      </c>
      <c r="N929" s="124">
        <v>3</v>
      </c>
      <c r="O929" s="54"/>
      <c r="P929" s="54" t="s">
        <v>3341</v>
      </c>
      <c r="Q929" s="84"/>
      <c r="R929" s="190"/>
      <c r="S929" s="196"/>
    </row>
    <row r="930" spans="1:19" ht="47.25">
      <c r="A930" s="196" t="s">
        <v>3342</v>
      </c>
      <c r="B930" s="197" t="s">
        <v>53</v>
      </c>
      <c r="C930" s="197" t="s">
        <v>886</v>
      </c>
      <c r="D930" s="124" t="s">
        <v>39</v>
      </c>
      <c r="E930" s="198">
        <v>45702</v>
      </c>
      <c r="F930" s="198">
        <v>45883</v>
      </c>
      <c r="G930" s="197" t="s">
        <v>71</v>
      </c>
      <c r="H930" s="199" t="s">
        <v>3343</v>
      </c>
      <c r="I930" s="199" t="s">
        <v>3344</v>
      </c>
      <c r="J930" s="197" t="s">
        <v>56</v>
      </c>
      <c r="K930" s="200" t="s">
        <v>42</v>
      </c>
      <c r="L930" s="54" t="s">
        <v>3345</v>
      </c>
      <c r="M930" s="201" t="s">
        <v>2824</v>
      </c>
      <c r="N930" s="124">
        <v>3</v>
      </c>
      <c r="O930" s="54"/>
      <c r="P930" s="54" t="s">
        <v>3346</v>
      </c>
      <c r="Q930" s="84"/>
      <c r="R930" s="190"/>
      <c r="S930" s="196"/>
    </row>
    <row r="931" spans="1:19" ht="31.5">
      <c r="A931" s="196" t="s">
        <v>3347</v>
      </c>
      <c r="B931" s="197" t="s">
        <v>53</v>
      </c>
      <c r="C931" s="197" t="s">
        <v>3123</v>
      </c>
      <c r="D931" s="124" t="s">
        <v>39</v>
      </c>
      <c r="E931" s="198">
        <v>45702</v>
      </c>
      <c r="F931" s="198">
        <v>45730</v>
      </c>
      <c r="G931" s="197" t="s">
        <v>71</v>
      </c>
      <c r="H931" s="199" t="s">
        <v>3348</v>
      </c>
      <c r="I931" s="199" t="s">
        <v>2966</v>
      </c>
      <c r="J931" s="197" t="s">
        <v>56</v>
      </c>
      <c r="K931" s="200" t="s">
        <v>3349</v>
      </c>
      <c r="L931" s="54" t="s">
        <v>3350</v>
      </c>
      <c r="M931" s="201" t="s">
        <v>2824</v>
      </c>
      <c r="N931" s="124">
        <v>3</v>
      </c>
      <c r="O931" s="54"/>
      <c r="P931" s="54" t="s">
        <v>3351</v>
      </c>
      <c r="Q931" s="84"/>
      <c r="R931" s="190"/>
      <c r="S931" s="196"/>
    </row>
    <row r="932" spans="1:19" s="204" customFormat="1" ht="63">
      <c r="A932" s="207" t="s">
        <v>3352</v>
      </c>
      <c r="B932" s="197" t="s">
        <v>53</v>
      </c>
      <c r="C932" s="197" t="s">
        <v>3123</v>
      </c>
      <c r="D932" s="124" t="s">
        <v>39</v>
      </c>
      <c r="E932" s="198">
        <v>45702</v>
      </c>
      <c r="F932" s="198">
        <v>45730</v>
      </c>
      <c r="G932" s="197" t="s">
        <v>71</v>
      </c>
      <c r="H932" s="199" t="s">
        <v>2415</v>
      </c>
      <c r="I932" s="199" t="s">
        <v>3313</v>
      </c>
      <c r="J932" s="197" t="s">
        <v>56</v>
      </c>
      <c r="K932" s="200" t="s">
        <v>3353</v>
      </c>
      <c r="L932" s="54" t="s">
        <v>3354</v>
      </c>
      <c r="M932" s="201" t="s">
        <v>2824</v>
      </c>
      <c r="N932" s="124">
        <v>3</v>
      </c>
      <c r="O932" s="54"/>
      <c r="P932" s="54" t="s">
        <v>3355</v>
      </c>
      <c r="Q932" s="84"/>
      <c r="R932" s="203"/>
      <c r="S932" s="196"/>
    </row>
    <row r="933" spans="1:19" s="215" customFormat="1" ht="47.25">
      <c r="A933" s="196" t="s">
        <v>3356</v>
      </c>
      <c r="B933" s="197" t="s">
        <v>53</v>
      </c>
      <c r="C933" s="197" t="s">
        <v>3123</v>
      </c>
      <c r="D933" s="124" t="s">
        <v>39</v>
      </c>
      <c r="E933" s="198">
        <v>45706</v>
      </c>
      <c r="F933" s="198">
        <v>45734</v>
      </c>
      <c r="G933" s="197" t="s">
        <v>71</v>
      </c>
      <c r="H933" s="199" t="s">
        <v>3357</v>
      </c>
      <c r="I933" s="199" t="s">
        <v>2220</v>
      </c>
      <c r="J933" s="197" t="s">
        <v>56</v>
      </c>
      <c r="K933" s="200" t="s">
        <v>3358</v>
      </c>
      <c r="L933" s="54" t="s">
        <v>3359</v>
      </c>
      <c r="M933" s="201" t="s">
        <v>2824</v>
      </c>
      <c r="N933" s="124">
        <v>3</v>
      </c>
      <c r="O933" s="54"/>
      <c r="P933" s="54" t="s">
        <v>3360</v>
      </c>
      <c r="Q933" s="84"/>
      <c r="R933" s="203"/>
      <c r="S933" s="196"/>
    </row>
    <row r="934" spans="1:19" ht="31.5">
      <c r="A934" s="196" t="s">
        <v>3361</v>
      </c>
      <c r="B934" s="197" t="s">
        <v>53</v>
      </c>
      <c r="C934" s="197" t="s">
        <v>3123</v>
      </c>
      <c r="D934" s="124" t="s">
        <v>39</v>
      </c>
      <c r="E934" s="198">
        <v>45707</v>
      </c>
      <c r="F934" s="198">
        <v>45735</v>
      </c>
      <c r="G934" s="197" t="s">
        <v>71</v>
      </c>
      <c r="H934" s="199" t="s">
        <v>3312</v>
      </c>
      <c r="I934" s="199" t="s">
        <v>592</v>
      </c>
      <c r="J934" s="197" t="s">
        <v>56</v>
      </c>
      <c r="K934" s="200" t="s">
        <v>3362</v>
      </c>
      <c r="L934" s="54" t="s">
        <v>3363</v>
      </c>
      <c r="M934" s="201" t="s">
        <v>2824</v>
      </c>
      <c r="N934" s="124">
        <v>3</v>
      </c>
      <c r="O934" s="54"/>
      <c r="P934" s="54" t="s">
        <v>3364</v>
      </c>
      <c r="Q934" s="84"/>
      <c r="R934" s="190"/>
      <c r="S934" s="196"/>
    </row>
    <row r="935" spans="1:19" ht="31.5">
      <c r="A935" s="196" t="s">
        <v>3365</v>
      </c>
      <c r="B935" s="197" t="s">
        <v>53</v>
      </c>
      <c r="C935" s="197" t="s">
        <v>3123</v>
      </c>
      <c r="D935" s="124" t="s">
        <v>39</v>
      </c>
      <c r="E935" s="198">
        <v>45707</v>
      </c>
      <c r="F935" s="198">
        <v>45735</v>
      </c>
      <c r="G935" s="197" t="s">
        <v>71</v>
      </c>
      <c r="H935" s="199" t="s">
        <v>2661</v>
      </c>
      <c r="I935" s="199" t="s">
        <v>592</v>
      </c>
      <c r="J935" s="197" t="s">
        <v>56</v>
      </c>
      <c r="K935" s="200" t="s">
        <v>3366</v>
      </c>
      <c r="L935" s="54" t="s">
        <v>3367</v>
      </c>
      <c r="M935" s="201" t="s">
        <v>2824</v>
      </c>
      <c r="N935" s="124">
        <v>3</v>
      </c>
      <c r="O935" s="54"/>
      <c r="P935" s="54" t="s">
        <v>3368</v>
      </c>
      <c r="Q935" s="84"/>
      <c r="R935" s="190"/>
      <c r="S935" s="196"/>
    </row>
    <row r="936" spans="1:19" ht="47.25">
      <c r="A936" s="196" t="s">
        <v>3369</v>
      </c>
      <c r="B936" s="197" t="s">
        <v>53</v>
      </c>
      <c r="C936" s="197" t="s">
        <v>886</v>
      </c>
      <c r="D936" s="124" t="s">
        <v>39</v>
      </c>
      <c r="E936" s="198">
        <v>45707</v>
      </c>
      <c r="F936" s="198">
        <v>45735</v>
      </c>
      <c r="G936" s="197" t="s">
        <v>279</v>
      </c>
      <c r="H936" s="199" t="s">
        <v>3370</v>
      </c>
      <c r="I936" s="199" t="s">
        <v>3371</v>
      </c>
      <c r="J936" s="197" t="s">
        <v>253</v>
      </c>
      <c r="K936" s="200"/>
      <c r="L936" s="54" t="s">
        <v>3372</v>
      </c>
      <c r="M936" s="201" t="s">
        <v>3337</v>
      </c>
      <c r="N936" s="124">
        <v>1</v>
      </c>
      <c r="O936" s="54"/>
      <c r="P936" s="54" t="s">
        <v>3373</v>
      </c>
      <c r="Q936" s="84"/>
      <c r="R936" s="190"/>
      <c r="S936" s="196"/>
    </row>
    <row r="937" spans="1:19" ht="63">
      <c r="A937" s="196" t="s">
        <v>3374</v>
      </c>
      <c r="B937" s="197" t="s">
        <v>53</v>
      </c>
      <c r="C937" s="197" t="s">
        <v>3123</v>
      </c>
      <c r="D937" s="124" t="s">
        <v>39</v>
      </c>
      <c r="E937" s="198">
        <v>45708</v>
      </c>
      <c r="F937" s="198">
        <v>45736</v>
      </c>
      <c r="G937" s="197" t="s">
        <v>71</v>
      </c>
      <c r="H937" s="199" t="s">
        <v>2565</v>
      </c>
      <c r="I937" s="199" t="s">
        <v>3039</v>
      </c>
      <c r="J937" s="197" t="s">
        <v>56</v>
      </c>
      <c r="K937" s="200" t="s">
        <v>3375</v>
      </c>
      <c r="L937" s="54" t="s">
        <v>3376</v>
      </c>
      <c r="M937" s="201" t="s">
        <v>2824</v>
      </c>
      <c r="N937" s="124">
        <v>3</v>
      </c>
      <c r="O937" s="54"/>
      <c r="P937" s="54" t="s">
        <v>3377</v>
      </c>
      <c r="Q937" s="84"/>
      <c r="R937" s="190"/>
      <c r="S937" s="196"/>
    </row>
    <row r="938" spans="1:19" ht="63">
      <c r="A938" s="196" t="s">
        <v>3378</v>
      </c>
      <c r="B938" s="197" t="s">
        <v>53</v>
      </c>
      <c r="C938" s="197" t="s">
        <v>3123</v>
      </c>
      <c r="D938" s="124" t="s">
        <v>39</v>
      </c>
      <c r="E938" s="198">
        <v>45708</v>
      </c>
      <c r="F938" s="198">
        <v>45736</v>
      </c>
      <c r="G938" s="197" t="s">
        <v>71</v>
      </c>
      <c r="H938" s="199" t="s">
        <v>1921</v>
      </c>
      <c r="I938" s="199" t="s">
        <v>2966</v>
      </c>
      <c r="J938" s="197" t="s">
        <v>56</v>
      </c>
      <c r="K938" s="200" t="s">
        <v>3379</v>
      </c>
      <c r="L938" s="54" t="s">
        <v>3380</v>
      </c>
      <c r="M938" s="201" t="s">
        <v>2824</v>
      </c>
      <c r="N938" s="124">
        <v>3</v>
      </c>
      <c r="O938" s="54"/>
      <c r="P938" s="54" t="s">
        <v>3381</v>
      </c>
      <c r="Q938" s="84"/>
      <c r="R938" s="190"/>
      <c r="S938" s="196"/>
    </row>
    <row r="939" spans="1:19" ht="63" hidden="1">
      <c r="A939" s="196" t="s">
        <v>3382</v>
      </c>
      <c r="B939" s="197" t="s">
        <v>38</v>
      </c>
      <c r="C939" s="197" t="s">
        <v>3123</v>
      </c>
      <c r="D939" s="124" t="s">
        <v>39</v>
      </c>
      <c r="E939" s="198">
        <v>45708</v>
      </c>
      <c r="F939" s="198">
        <v>45736</v>
      </c>
      <c r="G939" s="197" t="s">
        <v>108</v>
      </c>
      <c r="H939" s="199" t="s">
        <v>3383</v>
      </c>
      <c r="I939" s="199" t="s">
        <v>3384</v>
      </c>
      <c r="J939" s="197" t="s">
        <v>56</v>
      </c>
      <c r="K939" s="200" t="s">
        <v>3385</v>
      </c>
      <c r="L939" s="54" t="s">
        <v>3386</v>
      </c>
      <c r="M939" s="201" t="s">
        <v>2735</v>
      </c>
      <c r="N939" s="124">
        <v>3</v>
      </c>
      <c r="O939" s="54"/>
      <c r="P939" s="54" t="s">
        <v>3387</v>
      </c>
      <c r="Q939" s="84"/>
      <c r="R939" s="190"/>
      <c r="S939" s="196"/>
    </row>
    <row r="940" spans="1:19" ht="47.25">
      <c r="A940" s="196" t="s">
        <v>3388</v>
      </c>
      <c r="B940" s="197" t="s">
        <v>53</v>
      </c>
      <c r="C940" s="197" t="s">
        <v>3123</v>
      </c>
      <c r="D940" s="124" t="s">
        <v>39</v>
      </c>
      <c r="E940" s="198">
        <v>45709</v>
      </c>
      <c r="F940" s="198">
        <v>45737</v>
      </c>
      <c r="G940" s="197" t="s">
        <v>71</v>
      </c>
      <c r="H940" s="199" t="s">
        <v>2156</v>
      </c>
      <c r="I940" s="199" t="s">
        <v>2966</v>
      </c>
      <c r="J940" s="197" t="s">
        <v>56</v>
      </c>
      <c r="K940" s="200" t="s">
        <v>3389</v>
      </c>
      <c r="L940" s="54" t="s">
        <v>3390</v>
      </c>
      <c r="M940" s="201" t="s">
        <v>2824</v>
      </c>
      <c r="N940" s="124">
        <v>3</v>
      </c>
      <c r="O940" s="54"/>
      <c r="P940" s="54" t="s">
        <v>3391</v>
      </c>
      <c r="Q940" s="84"/>
      <c r="R940" s="190"/>
      <c r="S940" s="196"/>
    </row>
    <row r="941" spans="1:19" ht="15.75" hidden="1">
      <c r="A941" s="196" t="s">
        <v>3392</v>
      </c>
      <c r="B941" s="197" t="s">
        <v>38</v>
      </c>
      <c r="C941" s="197" t="s">
        <v>3123</v>
      </c>
      <c r="D941" s="124" t="s">
        <v>117</v>
      </c>
      <c r="E941" s="198">
        <v>45712</v>
      </c>
      <c r="F941" s="198">
        <v>45747</v>
      </c>
      <c r="G941" s="197" t="s">
        <v>71</v>
      </c>
      <c r="H941" s="199" t="s">
        <v>2809</v>
      </c>
      <c r="I941" s="199" t="s">
        <v>3300</v>
      </c>
      <c r="J941" s="197" t="s">
        <v>56</v>
      </c>
      <c r="K941" s="200" t="s">
        <v>3393</v>
      </c>
      <c r="L941" s="54" t="s">
        <v>3394</v>
      </c>
      <c r="M941" s="201" t="s">
        <v>3304</v>
      </c>
      <c r="N941" s="124">
        <v>1</v>
      </c>
      <c r="O941" s="54"/>
      <c r="P941" s="54"/>
      <c r="Q941" s="84"/>
      <c r="R941" s="190"/>
      <c r="S941" s="196"/>
    </row>
    <row r="942" spans="1:19" ht="47.25">
      <c r="A942" s="196" t="s">
        <v>3395</v>
      </c>
      <c r="B942" s="197" t="s">
        <v>53</v>
      </c>
      <c r="C942" s="197" t="s">
        <v>3123</v>
      </c>
      <c r="D942" s="124" t="s">
        <v>39</v>
      </c>
      <c r="E942" s="198">
        <v>45712</v>
      </c>
      <c r="F942" s="198">
        <v>45740</v>
      </c>
      <c r="G942" s="197" t="s">
        <v>71</v>
      </c>
      <c r="H942" s="199" t="s">
        <v>2565</v>
      </c>
      <c r="I942" s="199" t="s">
        <v>2966</v>
      </c>
      <c r="J942" s="197" t="s">
        <v>56</v>
      </c>
      <c r="K942" s="200" t="s">
        <v>3396</v>
      </c>
      <c r="L942" s="54" t="s">
        <v>3397</v>
      </c>
      <c r="M942" s="201" t="s">
        <v>2824</v>
      </c>
      <c r="N942" s="124">
        <v>1</v>
      </c>
      <c r="O942" s="54"/>
      <c r="P942" s="54" t="s">
        <v>3321</v>
      </c>
      <c r="Q942" s="84"/>
      <c r="R942" s="190"/>
      <c r="S942" s="196"/>
    </row>
    <row r="943" spans="1:19" ht="31.5">
      <c r="A943" s="196" t="s">
        <v>3398</v>
      </c>
      <c r="B943" s="197" t="s">
        <v>53</v>
      </c>
      <c r="C943" s="197" t="s">
        <v>3123</v>
      </c>
      <c r="D943" s="124" t="s">
        <v>39</v>
      </c>
      <c r="E943" s="198">
        <v>45713</v>
      </c>
      <c r="F943" s="198">
        <v>45741</v>
      </c>
      <c r="G943" s="197" t="s">
        <v>71</v>
      </c>
      <c r="H943" s="199" t="s">
        <v>2739</v>
      </c>
      <c r="I943" s="199" t="s">
        <v>3399</v>
      </c>
      <c r="J943" s="197" t="s">
        <v>102</v>
      </c>
      <c r="K943" s="200" t="s">
        <v>3400</v>
      </c>
      <c r="L943" s="54" t="s">
        <v>3401</v>
      </c>
      <c r="M943" s="201" t="s">
        <v>2824</v>
      </c>
      <c r="N943" s="124">
        <v>2</v>
      </c>
      <c r="O943" s="54"/>
      <c r="P943" s="54" t="s">
        <v>3402</v>
      </c>
      <c r="Q943" s="84"/>
      <c r="R943" s="190"/>
      <c r="S943" s="196"/>
    </row>
    <row r="944" spans="1:19" ht="47.25">
      <c r="A944" s="196" t="s">
        <v>3403</v>
      </c>
      <c r="B944" s="197" t="s">
        <v>53</v>
      </c>
      <c r="C944" s="197" t="s">
        <v>3123</v>
      </c>
      <c r="D944" s="124" t="s">
        <v>39</v>
      </c>
      <c r="E944" s="198">
        <v>45714</v>
      </c>
      <c r="F944" s="198">
        <v>45742</v>
      </c>
      <c r="G944" s="197" t="s">
        <v>71</v>
      </c>
      <c r="H944" s="199" t="s">
        <v>3404</v>
      </c>
      <c r="I944" s="199" t="s">
        <v>3069</v>
      </c>
      <c r="J944" s="197" t="s">
        <v>316</v>
      </c>
      <c r="K944" s="200" t="s">
        <v>3405</v>
      </c>
      <c r="L944" s="54" t="s">
        <v>3406</v>
      </c>
      <c r="M944" s="201" t="s">
        <v>2824</v>
      </c>
      <c r="N944" s="124">
        <v>2</v>
      </c>
      <c r="O944" s="54"/>
      <c r="P944" s="54" t="s">
        <v>3407</v>
      </c>
      <c r="Q944" s="84"/>
      <c r="R944" s="190"/>
      <c r="S944" s="196"/>
    </row>
    <row r="945" spans="1:19" ht="31.5">
      <c r="A945" s="196" t="s">
        <v>3408</v>
      </c>
      <c r="B945" s="197" t="s">
        <v>53</v>
      </c>
      <c r="C945" s="197" t="s">
        <v>3123</v>
      </c>
      <c r="D945" s="124" t="s">
        <v>39</v>
      </c>
      <c r="E945" s="198">
        <v>45714</v>
      </c>
      <c r="F945" s="198">
        <v>45742</v>
      </c>
      <c r="G945" s="197" t="s">
        <v>71</v>
      </c>
      <c r="H945" s="199" t="s">
        <v>2739</v>
      </c>
      <c r="I945" s="199" t="s">
        <v>2539</v>
      </c>
      <c r="J945" s="197" t="s">
        <v>316</v>
      </c>
      <c r="K945" s="200" t="s">
        <v>3409</v>
      </c>
      <c r="L945" s="54" t="s">
        <v>3410</v>
      </c>
      <c r="M945" s="201" t="s">
        <v>2824</v>
      </c>
      <c r="N945" s="124">
        <v>2</v>
      </c>
      <c r="O945" s="54"/>
      <c r="P945" s="54" t="s">
        <v>3411</v>
      </c>
      <c r="Q945" s="84"/>
      <c r="R945" s="190"/>
      <c r="S945" s="196"/>
    </row>
    <row r="946" spans="1:19" ht="47.25">
      <c r="A946" s="196" t="s">
        <v>3412</v>
      </c>
      <c r="B946" s="197" t="s">
        <v>53</v>
      </c>
      <c r="C946" s="197" t="s">
        <v>3123</v>
      </c>
      <c r="D946" s="124" t="s">
        <v>39</v>
      </c>
      <c r="E946" s="198">
        <v>45716</v>
      </c>
      <c r="F946" s="198">
        <v>45744</v>
      </c>
      <c r="G946" s="197" t="s">
        <v>71</v>
      </c>
      <c r="H946" s="199" t="s">
        <v>3357</v>
      </c>
      <c r="I946" s="199" t="s">
        <v>2220</v>
      </c>
      <c r="J946" s="197" t="s">
        <v>253</v>
      </c>
      <c r="K946" s="200" t="s">
        <v>3413</v>
      </c>
      <c r="L946" s="54" t="s">
        <v>3414</v>
      </c>
      <c r="M946" s="201" t="s">
        <v>2824</v>
      </c>
      <c r="N946" s="124">
        <v>2</v>
      </c>
      <c r="O946" s="54"/>
      <c r="P946" s="54" t="s">
        <v>3415</v>
      </c>
      <c r="Q946" s="84"/>
      <c r="R946" s="190"/>
      <c r="S946" s="196"/>
    </row>
    <row r="947" spans="1:19" ht="47.25">
      <c r="A947" s="196" t="s">
        <v>3416</v>
      </c>
      <c r="B947" s="197" t="s">
        <v>53</v>
      </c>
      <c r="C947" s="197" t="s">
        <v>3123</v>
      </c>
      <c r="D947" s="124" t="s">
        <v>39</v>
      </c>
      <c r="E947" s="198">
        <v>45719</v>
      </c>
      <c r="F947" s="198">
        <v>45750</v>
      </c>
      <c r="G947" s="197" t="s">
        <v>71</v>
      </c>
      <c r="H947" s="199" t="s">
        <v>3006</v>
      </c>
      <c r="I947" s="199" t="s">
        <v>3313</v>
      </c>
      <c r="J947" s="197" t="s">
        <v>56</v>
      </c>
      <c r="K947" s="200" t="s">
        <v>3417</v>
      </c>
      <c r="L947" s="54" t="s">
        <v>3418</v>
      </c>
      <c r="M947" s="201" t="s">
        <v>2824</v>
      </c>
      <c r="N947" s="124">
        <v>2</v>
      </c>
      <c r="O947" s="54"/>
      <c r="P947" s="54" t="s">
        <v>3419</v>
      </c>
      <c r="Q947" s="84"/>
      <c r="R947" s="190"/>
      <c r="S947" s="196"/>
    </row>
    <row r="948" spans="1:19" ht="31.5">
      <c r="A948" s="196" t="s">
        <v>3420</v>
      </c>
      <c r="B948" s="197" t="s">
        <v>53</v>
      </c>
      <c r="C948" s="197" t="s">
        <v>3123</v>
      </c>
      <c r="D948" s="124" t="s">
        <v>39</v>
      </c>
      <c r="E948" s="198">
        <v>45720</v>
      </c>
      <c r="F948" s="198">
        <v>45781</v>
      </c>
      <c r="G948" s="197" t="s">
        <v>71</v>
      </c>
      <c r="H948" s="199" t="s">
        <v>3348</v>
      </c>
      <c r="I948" s="199" t="s">
        <v>2220</v>
      </c>
      <c r="J948" s="197" t="s">
        <v>56</v>
      </c>
      <c r="K948" s="200" t="s">
        <v>3421</v>
      </c>
      <c r="L948" s="54" t="s">
        <v>3422</v>
      </c>
      <c r="M948" s="201" t="s">
        <v>2824</v>
      </c>
      <c r="N948" s="124">
        <v>2</v>
      </c>
      <c r="O948" s="54"/>
      <c r="P948" s="54" t="s">
        <v>3423</v>
      </c>
      <c r="Q948" s="84"/>
      <c r="R948" s="190"/>
      <c r="S948" s="196"/>
    </row>
    <row r="949" spans="1:19" ht="78.75">
      <c r="A949" s="196" t="s">
        <v>3424</v>
      </c>
      <c r="B949" s="197" t="s">
        <v>53</v>
      </c>
      <c r="C949" s="197" t="s">
        <v>3123</v>
      </c>
      <c r="D949" s="124" t="s">
        <v>39</v>
      </c>
      <c r="E949" s="198">
        <v>45726</v>
      </c>
      <c r="F949" s="198">
        <v>45757</v>
      </c>
      <c r="G949" s="197" t="s">
        <v>71</v>
      </c>
      <c r="H949" s="199" t="s">
        <v>2565</v>
      </c>
      <c r="I949" s="199" t="s">
        <v>2966</v>
      </c>
      <c r="J949" s="197" t="s">
        <v>56</v>
      </c>
      <c r="K949" s="200" t="s">
        <v>3425</v>
      </c>
      <c r="L949" s="54" t="s">
        <v>3426</v>
      </c>
      <c r="M949" s="201" t="s">
        <v>2824</v>
      </c>
      <c r="N949" s="124">
        <v>2</v>
      </c>
      <c r="O949" s="54"/>
      <c r="P949" s="54" t="s">
        <v>3427</v>
      </c>
      <c r="Q949" s="84"/>
      <c r="R949" s="190"/>
      <c r="S949" s="196"/>
    </row>
    <row r="950" spans="1:19" ht="31.5">
      <c r="A950" s="196" t="s">
        <v>3428</v>
      </c>
      <c r="B950" s="197" t="s">
        <v>53</v>
      </c>
      <c r="C950" s="197" t="s">
        <v>3123</v>
      </c>
      <c r="D950" s="124" t="s">
        <v>39</v>
      </c>
      <c r="E950" s="198">
        <v>45727</v>
      </c>
      <c r="F950" s="198">
        <v>45758</v>
      </c>
      <c r="G950" s="197" t="s">
        <v>71</v>
      </c>
      <c r="H950" s="199" t="s">
        <v>3429</v>
      </c>
      <c r="I950" s="199" t="s">
        <v>3074</v>
      </c>
      <c r="J950" s="197" t="s">
        <v>316</v>
      </c>
      <c r="K950" s="200" t="s">
        <v>3430</v>
      </c>
      <c r="L950" s="54" t="s">
        <v>3431</v>
      </c>
      <c r="M950" s="201" t="s">
        <v>2824</v>
      </c>
      <c r="N950" s="124">
        <v>2</v>
      </c>
      <c r="O950" s="54"/>
      <c r="P950" s="54" t="s">
        <v>3432</v>
      </c>
      <c r="Q950" s="84"/>
      <c r="R950" s="190"/>
      <c r="S950" s="196"/>
    </row>
    <row r="951" spans="1:19" ht="31.5" hidden="1">
      <c r="A951" s="196" t="s">
        <v>3433</v>
      </c>
      <c r="B951" s="197" t="s">
        <v>38</v>
      </c>
      <c r="C951" s="197" t="s">
        <v>3123</v>
      </c>
      <c r="D951" s="124" t="s">
        <v>39</v>
      </c>
      <c r="E951" s="198">
        <v>45727</v>
      </c>
      <c r="F951" s="198">
        <v>45758</v>
      </c>
      <c r="G951" s="197" t="s">
        <v>108</v>
      </c>
      <c r="H951" s="199" t="s">
        <v>3213</v>
      </c>
      <c r="I951" s="213" t="s">
        <v>2966</v>
      </c>
      <c r="J951" s="197" t="s">
        <v>56</v>
      </c>
      <c r="K951" s="214" t="s">
        <v>3434</v>
      </c>
      <c r="L951" s="54" t="s">
        <v>3215</v>
      </c>
      <c r="M951" s="201" t="s">
        <v>2735</v>
      </c>
      <c r="N951" s="124">
        <v>2</v>
      </c>
      <c r="O951" s="54"/>
      <c r="P951" s="54" t="s">
        <v>3435</v>
      </c>
      <c r="Q951" s="84"/>
      <c r="R951" s="190"/>
      <c r="S951" s="196"/>
    </row>
    <row r="952" spans="1:19" ht="31.5">
      <c r="A952" s="196" t="s">
        <v>3436</v>
      </c>
      <c r="B952" s="197" t="s">
        <v>53</v>
      </c>
      <c r="C952" s="197" t="s">
        <v>3123</v>
      </c>
      <c r="D952" s="124" t="s">
        <v>39</v>
      </c>
      <c r="E952" s="198">
        <v>45729</v>
      </c>
      <c r="F952" s="198">
        <v>45760</v>
      </c>
      <c r="G952" s="197" t="s">
        <v>71</v>
      </c>
      <c r="H952" s="199" t="s">
        <v>2156</v>
      </c>
      <c r="I952" s="199" t="s">
        <v>2539</v>
      </c>
      <c r="J952" s="197" t="s">
        <v>56</v>
      </c>
      <c r="K952" s="200" t="s">
        <v>3437</v>
      </c>
      <c r="L952" s="54" t="s">
        <v>3438</v>
      </c>
      <c r="M952" s="201" t="s">
        <v>2824</v>
      </c>
      <c r="N952" s="124">
        <v>2</v>
      </c>
      <c r="O952" s="54"/>
      <c r="P952" s="54" t="s">
        <v>3439</v>
      </c>
      <c r="Q952" s="84"/>
      <c r="R952" s="190"/>
      <c r="S952" s="196"/>
    </row>
    <row r="953" spans="1:19" ht="47.25">
      <c r="A953" s="196" t="s">
        <v>3440</v>
      </c>
      <c r="B953" s="197" t="s">
        <v>53</v>
      </c>
      <c r="C953" s="197" t="s">
        <v>3123</v>
      </c>
      <c r="D953" s="124" t="s">
        <v>39</v>
      </c>
      <c r="E953" s="198">
        <v>45730</v>
      </c>
      <c r="F953" s="198">
        <v>45761</v>
      </c>
      <c r="G953" s="197" t="s">
        <v>71</v>
      </c>
      <c r="H953" s="199" t="s">
        <v>3312</v>
      </c>
      <c r="I953" s="199" t="s">
        <v>2539</v>
      </c>
      <c r="J953" s="197" t="s">
        <v>56</v>
      </c>
      <c r="K953" s="200" t="s">
        <v>3441</v>
      </c>
      <c r="L953" s="54" t="s">
        <v>3442</v>
      </c>
      <c r="M953" s="201" t="s">
        <v>2824</v>
      </c>
      <c r="N953" s="124">
        <v>3</v>
      </c>
      <c r="O953" s="54"/>
      <c r="P953" s="54" t="s">
        <v>3443</v>
      </c>
      <c r="Q953" s="84"/>
      <c r="R953" s="190"/>
      <c r="S953" s="196"/>
    </row>
    <row r="954" spans="1:19" ht="157.5" hidden="1">
      <c r="A954" s="196" t="s">
        <v>3444</v>
      </c>
      <c r="B954" s="197" t="s">
        <v>38</v>
      </c>
      <c r="C954" s="197" t="s">
        <v>886</v>
      </c>
      <c r="D954" s="124" t="s">
        <v>39</v>
      </c>
      <c r="E954" s="198">
        <v>45730</v>
      </c>
      <c r="F954" s="198">
        <v>45761</v>
      </c>
      <c r="G954" s="197" t="s">
        <v>108</v>
      </c>
      <c r="H954" s="199" t="s">
        <v>3445</v>
      </c>
      <c r="I954" s="199" t="s">
        <v>2768</v>
      </c>
      <c r="J954" s="197" t="s">
        <v>56</v>
      </c>
      <c r="K954" s="200" t="s">
        <v>42</v>
      </c>
      <c r="L954" s="54" t="s">
        <v>3446</v>
      </c>
      <c r="M954" s="201" t="s">
        <v>2735</v>
      </c>
      <c r="N954" s="124">
        <v>3</v>
      </c>
      <c r="O954" s="54"/>
      <c r="P954" s="54" t="s">
        <v>3447</v>
      </c>
      <c r="Q954" s="84"/>
      <c r="R954" s="190"/>
      <c r="S954" s="196"/>
    </row>
    <row r="955" spans="1:19" ht="47.25">
      <c r="A955" s="196" t="s">
        <v>3448</v>
      </c>
      <c r="B955" s="197" t="s">
        <v>53</v>
      </c>
      <c r="C955" s="197" t="s">
        <v>3123</v>
      </c>
      <c r="D955" s="124" t="s">
        <v>39</v>
      </c>
      <c r="E955" s="198">
        <v>45733</v>
      </c>
      <c r="F955" s="198">
        <v>45764</v>
      </c>
      <c r="G955" s="197" t="s">
        <v>71</v>
      </c>
      <c r="H955" s="199" t="s">
        <v>2156</v>
      </c>
      <c r="I955" s="199" t="s">
        <v>2966</v>
      </c>
      <c r="J955" s="197" t="s">
        <v>56</v>
      </c>
      <c r="K955" s="200" t="s">
        <v>3449</v>
      </c>
      <c r="L955" s="54" t="s">
        <v>3450</v>
      </c>
      <c r="M955" s="201" t="s">
        <v>2824</v>
      </c>
      <c r="N955" s="124">
        <v>2</v>
      </c>
      <c r="O955" s="54"/>
      <c r="P955" s="54" t="s">
        <v>3451</v>
      </c>
      <c r="Q955" s="84"/>
      <c r="R955" s="190"/>
      <c r="S955" s="196"/>
    </row>
    <row r="956" spans="1:19" ht="47.25">
      <c r="A956" s="196" t="s">
        <v>3452</v>
      </c>
      <c r="B956" s="197" t="s">
        <v>53</v>
      </c>
      <c r="C956" s="197" t="s">
        <v>3123</v>
      </c>
      <c r="D956" s="124" t="s">
        <v>39</v>
      </c>
      <c r="E956" s="198">
        <v>45736</v>
      </c>
      <c r="F956" s="198">
        <v>45767</v>
      </c>
      <c r="G956" s="197" t="s">
        <v>71</v>
      </c>
      <c r="H956" s="199" t="s">
        <v>2493</v>
      </c>
      <c r="I956" s="199" t="s">
        <v>3453</v>
      </c>
      <c r="J956" s="197" t="s">
        <v>56</v>
      </c>
      <c r="K956" s="200" t="s">
        <v>3454</v>
      </c>
      <c r="L956" s="54" t="s">
        <v>3455</v>
      </c>
      <c r="M956" s="201" t="s">
        <v>2824</v>
      </c>
      <c r="N956" s="124">
        <v>2</v>
      </c>
      <c r="O956" s="54"/>
      <c r="P956" s="54" t="s">
        <v>3456</v>
      </c>
      <c r="Q956" s="84"/>
      <c r="R956" s="190"/>
      <c r="S956" s="196"/>
    </row>
    <row r="957" spans="1:19" ht="47.25">
      <c r="A957" s="196" t="s">
        <v>3457</v>
      </c>
      <c r="B957" s="197" t="s">
        <v>53</v>
      </c>
      <c r="C957" s="197" t="s">
        <v>3123</v>
      </c>
      <c r="D957" s="124" t="s">
        <v>39</v>
      </c>
      <c r="E957" s="198">
        <v>45736</v>
      </c>
      <c r="F957" s="198">
        <v>45767</v>
      </c>
      <c r="G957" s="197" t="s">
        <v>71</v>
      </c>
      <c r="H957" s="199" t="s">
        <v>2895</v>
      </c>
      <c r="I957" s="199" t="s">
        <v>2966</v>
      </c>
      <c r="J957" s="197" t="s">
        <v>316</v>
      </c>
      <c r="K957" s="200" t="s">
        <v>3458</v>
      </c>
      <c r="L957" s="54" t="s">
        <v>3459</v>
      </c>
      <c r="M957" s="201" t="s">
        <v>2824</v>
      </c>
      <c r="N957" s="124">
        <v>2</v>
      </c>
      <c r="O957" s="54"/>
      <c r="P957" s="54" t="s">
        <v>3460</v>
      </c>
      <c r="Q957" s="84"/>
      <c r="R957" s="190"/>
      <c r="S957" s="196"/>
    </row>
    <row r="958" spans="1:19" ht="47.25">
      <c r="A958" s="196" t="s">
        <v>3461</v>
      </c>
      <c r="B958" s="197" t="s">
        <v>53</v>
      </c>
      <c r="C958" s="197" t="s">
        <v>3123</v>
      </c>
      <c r="D958" s="124" t="s">
        <v>39</v>
      </c>
      <c r="E958" s="198">
        <v>45740</v>
      </c>
      <c r="F958" s="198">
        <v>45771</v>
      </c>
      <c r="G958" s="197" t="s">
        <v>71</v>
      </c>
      <c r="H958" s="199" t="s">
        <v>1921</v>
      </c>
      <c r="I958" s="199" t="s">
        <v>2966</v>
      </c>
      <c r="J958" s="197" t="s">
        <v>56</v>
      </c>
      <c r="K958" s="200" t="s">
        <v>3462</v>
      </c>
      <c r="L958" s="54" t="s">
        <v>3463</v>
      </c>
      <c r="M958" s="201" t="s">
        <v>2824</v>
      </c>
      <c r="N958" s="124">
        <v>2</v>
      </c>
      <c r="O958" s="54"/>
      <c r="P958" s="54" t="s">
        <v>3464</v>
      </c>
      <c r="Q958" s="84"/>
      <c r="R958" s="190"/>
      <c r="S958" s="196"/>
    </row>
    <row r="959" spans="1:19" ht="94.5">
      <c r="A959" s="196" t="s">
        <v>3465</v>
      </c>
      <c r="B959" s="197" t="s">
        <v>53</v>
      </c>
      <c r="C959" s="197" t="s">
        <v>3123</v>
      </c>
      <c r="D959" s="124" t="s">
        <v>39</v>
      </c>
      <c r="E959" s="198">
        <v>45742</v>
      </c>
      <c r="F959" s="198">
        <v>45773</v>
      </c>
      <c r="G959" s="197" t="s">
        <v>71</v>
      </c>
      <c r="H959" s="199" t="s">
        <v>3466</v>
      </c>
      <c r="I959" s="199" t="s">
        <v>3453</v>
      </c>
      <c r="J959" s="197" t="s">
        <v>56</v>
      </c>
      <c r="K959" s="200" t="s">
        <v>3467</v>
      </c>
      <c r="L959" s="54" t="s">
        <v>3468</v>
      </c>
      <c r="M959" s="201" t="s">
        <v>2824</v>
      </c>
      <c r="N959" s="124">
        <v>2</v>
      </c>
      <c r="O959" s="54"/>
      <c r="P959" s="54" t="s">
        <v>3469</v>
      </c>
      <c r="Q959" s="84"/>
      <c r="R959" s="190"/>
      <c r="S959" s="196"/>
    </row>
    <row r="960" spans="1:19" ht="63">
      <c r="A960" s="196" t="s">
        <v>3470</v>
      </c>
      <c r="B960" s="197" t="s">
        <v>53</v>
      </c>
      <c r="C960" s="197" t="s">
        <v>3123</v>
      </c>
      <c r="D960" s="124" t="s">
        <v>39</v>
      </c>
      <c r="E960" s="198">
        <v>45742</v>
      </c>
      <c r="F960" s="198">
        <v>45773</v>
      </c>
      <c r="G960" s="197" t="s">
        <v>71</v>
      </c>
      <c r="H960" s="199" t="s">
        <v>2156</v>
      </c>
      <c r="I960" s="199" t="s">
        <v>3074</v>
      </c>
      <c r="J960" s="197" t="s">
        <v>1570</v>
      </c>
      <c r="K960" s="200" t="s">
        <v>3471</v>
      </c>
      <c r="L960" s="54" t="s">
        <v>3472</v>
      </c>
      <c r="M960" s="201" t="s">
        <v>2824</v>
      </c>
      <c r="N960" s="124">
        <v>2</v>
      </c>
      <c r="O960" s="54"/>
      <c r="P960" s="54" t="s">
        <v>3473</v>
      </c>
      <c r="Q960" s="84"/>
      <c r="R960" s="190"/>
      <c r="S960" s="196"/>
    </row>
    <row r="961" spans="1:19" ht="63">
      <c r="A961" s="196" t="s">
        <v>3474</v>
      </c>
      <c r="B961" s="197" t="s">
        <v>53</v>
      </c>
      <c r="C961" s="197" t="s">
        <v>3123</v>
      </c>
      <c r="D961" s="124" t="s">
        <v>39</v>
      </c>
      <c r="E961" s="198">
        <v>45743</v>
      </c>
      <c r="F961" s="198">
        <v>45774</v>
      </c>
      <c r="G961" s="197" t="s">
        <v>71</v>
      </c>
      <c r="H961" s="199" t="s">
        <v>3157</v>
      </c>
      <c r="I961" s="199" t="s">
        <v>2966</v>
      </c>
      <c r="J961" s="197" t="s">
        <v>56</v>
      </c>
      <c r="K961" s="200" t="s">
        <v>3475</v>
      </c>
      <c r="L961" s="54" t="s">
        <v>3476</v>
      </c>
      <c r="M961" s="201" t="s">
        <v>2824</v>
      </c>
      <c r="N961" s="124">
        <v>2</v>
      </c>
      <c r="O961" s="54"/>
      <c r="P961" s="54" t="s">
        <v>3477</v>
      </c>
      <c r="Q961" s="84"/>
      <c r="R961" s="190"/>
      <c r="S961" s="196"/>
    </row>
    <row r="962" spans="1:19" ht="47.25">
      <c r="A962" s="196" t="s">
        <v>3478</v>
      </c>
      <c r="B962" s="197" t="s">
        <v>53</v>
      </c>
      <c r="C962" s="197" t="s">
        <v>3123</v>
      </c>
      <c r="D962" s="124" t="s">
        <v>39</v>
      </c>
      <c r="E962" s="198">
        <v>45743</v>
      </c>
      <c r="F962" s="198">
        <v>45774</v>
      </c>
      <c r="G962" s="197" t="s">
        <v>71</v>
      </c>
      <c r="H962" s="199" t="s">
        <v>3479</v>
      </c>
      <c r="I962" s="199" t="s">
        <v>2966</v>
      </c>
      <c r="J962" s="197" t="s">
        <v>98</v>
      </c>
      <c r="K962" s="200" t="s">
        <v>3480</v>
      </c>
      <c r="L962" s="54" t="s">
        <v>3481</v>
      </c>
      <c r="M962" s="201" t="s">
        <v>2824</v>
      </c>
      <c r="N962" s="124">
        <v>2</v>
      </c>
      <c r="O962" s="54"/>
      <c r="P962" s="54" t="s">
        <v>3477</v>
      </c>
      <c r="Q962" s="84"/>
      <c r="R962" s="190"/>
      <c r="S962" s="196"/>
    </row>
    <row r="963" spans="1:19" ht="47.25" hidden="1">
      <c r="A963" s="196" t="s">
        <v>3482</v>
      </c>
      <c r="B963" s="197" t="s">
        <v>38</v>
      </c>
      <c r="C963" s="197" t="s">
        <v>3123</v>
      </c>
      <c r="D963" s="124" t="s">
        <v>39</v>
      </c>
      <c r="E963" s="198">
        <v>45744</v>
      </c>
      <c r="F963" s="198">
        <v>45775</v>
      </c>
      <c r="G963" s="197" t="s">
        <v>71</v>
      </c>
      <c r="H963" s="199" t="s">
        <v>2778</v>
      </c>
      <c r="I963" s="199" t="s">
        <v>2768</v>
      </c>
      <c r="J963" s="197" t="s">
        <v>56</v>
      </c>
      <c r="K963" s="200" t="s">
        <v>3483</v>
      </c>
      <c r="L963" s="54" t="s">
        <v>3484</v>
      </c>
      <c r="M963" s="201" t="s">
        <v>2735</v>
      </c>
      <c r="N963" s="124">
        <v>2</v>
      </c>
      <c r="O963" s="54"/>
      <c r="P963" s="54" t="s">
        <v>3485</v>
      </c>
      <c r="Q963" s="84"/>
      <c r="R963" s="190"/>
      <c r="S963" s="196"/>
    </row>
    <row r="964" spans="1:19" ht="63">
      <c r="A964" s="196" t="s">
        <v>3486</v>
      </c>
      <c r="B964" s="197" t="s">
        <v>53</v>
      </c>
      <c r="C964" s="197" t="s">
        <v>3123</v>
      </c>
      <c r="D964" s="124" t="s">
        <v>39</v>
      </c>
      <c r="E964" s="198">
        <v>45749</v>
      </c>
      <c r="F964" s="198">
        <v>45779</v>
      </c>
      <c r="G964" s="197" t="s">
        <v>71</v>
      </c>
      <c r="H964" s="199" t="s">
        <v>3348</v>
      </c>
      <c r="I964" s="199" t="s">
        <v>3487</v>
      </c>
      <c r="J964" s="197" t="s">
        <v>56</v>
      </c>
      <c r="K964" s="200" t="s">
        <v>3488</v>
      </c>
      <c r="L964" s="54" t="s">
        <v>3489</v>
      </c>
      <c r="M964" s="201" t="s">
        <v>2824</v>
      </c>
      <c r="N964" s="124">
        <v>2</v>
      </c>
      <c r="O964" s="54"/>
      <c r="P964" s="54" t="s">
        <v>3490</v>
      </c>
      <c r="Q964" s="84"/>
      <c r="R964" s="190"/>
      <c r="S964" s="196"/>
    </row>
    <row r="965" spans="1:19" ht="94.5">
      <c r="A965" s="196" t="s">
        <v>3491</v>
      </c>
      <c r="B965" s="197" t="s">
        <v>53</v>
      </c>
      <c r="C965" s="197" t="s">
        <v>3123</v>
      </c>
      <c r="D965" s="124" t="s">
        <v>39</v>
      </c>
      <c r="E965" s="198">
        <v>45749</v>
      </c>
      <c r="F965" s="198">
        <v>45779</v>
      </c>
      <c r="G965" s="197" t="s">
        <v>71</v>
      </c>
      <c r="H965" s="199" t="s">
        <v>2156</v>
      </c>
      <c r="I965" s="199" t="s">
        <v>2768</v>
      </c>
      <c r="J965" s="197" t="s">
        <v>56</v>
      </c>
      <c r="K965" s="200" t="s">
        <v>3492</v>
      </c>
      <c r="L965" s="54" t="s">
        <v>3493</v>
      </c>
      <c r="M965" s="201" t="s">
        <v>2824</v>
      </c>
      <c r="N965" s="124">
        <v>2</v>
      </c>
      <c r="O965" s="54"/>
      <c r="P965" s="54" t="s">
        <v>3494</v>
      </c>
      <c r="Q965" s="84"/>
      <c r="R965" s="190"/>
      <c r="S965" s="196"/>
    </row>
    <row r="966" spans="1:19" ht="47.25">
      <c r="A966" s="196" t="s">
        <v>3495</v>
      </c>
      <c r="B966" s="197" t="s">
        <v>53</v>
      </c>
      <c r="C966" s="197" t="s">
        <v>3496</v>
      </c>
      <c r="D966" s="124" t="s">
        <v>39</v>
      </c>
      <c r="E966" s="198">
        <v>45750</v>
      </c>
      <c r="F966" s="198">
        <v>45780</v>
      </c>
      <c r="G966" s="197" t="s">
        <v>71</v>
      </c>
      <c r="H966" s="199" t="s">
        <v>3497</v>
      </c>
      <c r="I966" s="199" t="s">
        <v>2346</v>
      </c>
      <c r="J966" s="197" t="s">
        <v>56</v>
      </c>
      <c r="K966" s="200" t="s">
        <v>3498</v>
      </c>
      <c r="L966" s="54" t="s">
        <v>3499</v>
      </c>
      <c r="M966" s="201" t="s">
        <v>2824</v>
      </c>
      <c r="N966" s="124">
        <v>2</v>
      </c>
      <c r="O966" s="54"/>
      <c r="P966" s="54" t="s">
        <v>3500</v>
      </c>
      <c r="Q966" s="84"/>
      <c r="R966" s="190"/>
      <c r="S966" s="196"/>
    </row>
    <row r="967" spans="1:19" ht="63">
      <c r="A967" s="196" t="s">
        <v>3501</v>
      </c>
      <c r="B967" s="197" t="s">
        <v>53</v>
      </c>
      <c r="C967" s="197" t="s">
        <v>3496</v>
      </c>
      <c r="D967" s="124" t="s">
        <v>39</v>
      </c>
      <c r="E967" s="198">
        <v>45751</v>
      </c>
      <c r="F967" s="198">
        <v>45781</v>
      </c>
      <c r="G967" s="197" t="s">
        <v>71</v>
      </c>
      <c r="H967" s="199" t="s">
        <v>2739</v>
      </c>
      <c r="I967" s="199" t="s">
        <v>2966</v>
      </c>
      <c r="J967" s="197" t="s">
        <v>56</v>
      </c>
      <c r="K967" s="200" t="s">
        <v>3502</v>
      </c>
      <c r="L967" s="54" t="s">
        <v>3503</v>
      </c>
      <c r="M967" s="201" t="s">
        <v>2824</v>
      </c>
      <c r="N967" s="124">
        <v>2</v>
      </c>
      <c r="O967" s="54"/>
      <c r="P967" s="54" t="s">
        <v>3504</v>
      </c>
      <c r="Q967" s="84"/>
      <c r="R967" s="190"/>
      <c r="S967" s="196"/>
    </row>
    <row r="968" spans="1:19" ht="63">
      <c r="A968" s="196" t="s">
        <v>3505</v>
      </c>
      <c r="B968" s="197" t="s">
        <v>53</v>
      </c>
      <c r="C968" s="197" t="s">
        <v>3123</v>
      </c>
      <c r="D968" s="124" t="s">
        <v>39</v>
      </c>
      <c r="E968" s="198">
        <v>45757</v>
      </c>
      <c r="F968" s="198">
        <v>45787</v>
      </c>
      <c r="G968" s="197" t="s">
        <v>71</v>
      </c>
      <c r="H968" s="199" t="s">
        <v>2565</v>
      </c>
      <c r="I968" s="199" t="s">
        <v>3506</v>
      </c>
      <c r="J968" s="197" t="s">
        <v>56</v>
      </c>
      <c r="K968" s="200" t="s">
        <v>3507</v>
      </c>
      <c r="L968" s="54" t="s">
        <v>3508</v>
      </c>
      <c r="M968" s="201" t="s">
        <v>2824</v>
      </c>
      <c r="N968" s="124">
        <v>2</v>
      </c>
      <c r="O968" s="54"/>
      <c r="P968" s="54" t="s">
        <v>3509</v>
      </c>
      <c r="Q968" s="84"/>
      <c r="R968" s="190"/>
      <c r="S968" s="196"/>
    </row>
    <row r="969" spans="1:19" ht="31.5" hidden="1">
      <c r="A969" s="196" t="s">
        <v>3510</v>
      </c>
      <c r="B969" s="197" t="s">
        <v>38</v>
      </c>
      <c r="C969" s="197" t="s">
        <v>886</v>
      </c>
      <c r="D969" s="124" t="s">
        <v>117</v>
      </c>
      <c r="E969" s="198">
        <v>45768</v>
      </c>
      <c r="F969" s="198">
        <v>45798</v>
      </c>
      <c r="G969" s="197" t="s">
        <v>71</v>
      </c>
      <c r="H969" s="199" t="s">
        <v>3511</v>
      </c>
      <c r="I969" s="199" t="s">
        <v>3512</v>
      </c>
      <c r="J969" s="197" t="s">
        <v>56</v>
      </c>
      <c r="K969" s="200" t="s">
        <v>3513</v>
      </c>
      <c r="L969" s="54" t="s">
        <v>3514</v>
      </c>
      <c r="M969" s="201" t="s">
        <v>3515</v>
      </c>
      <c r="N969" s="124">
        <v>2</v>
      </c>
      <c r="O969" s="65">
        <v>1</v>
      </c>
      <c r="P969" s="54"/>
      <c r="Q969" s="84"/>
      <c r="R969" s="190"/>
      <c r="S969" s="196"/>
    </row>
    <row r="970" spans="1:19" ht="47.25" hidden="1">
      <c r="A970" s="196" t="s">
        <v>3516</v>
      </c>
      <c r="B970" s="197" t="s">
        <v>38</v>
      </c>
      <c r="C970" s="197" t="s">
        <v>3123</v>
      </c>
      <c r="D970" s="124" t="s">
        <v>39</v>
      </c>
      <c r="E970" s="198">
        <v>45771</v>
      </c>
      <c r="F970" s="198">
        <v>45832</v>
      </c>
      <c r="G970" s="197" t="s">
        <v>108</v>
      </c>
      <c r="H970" s="199" t="s">
        <v>3517</v>
      </c>
      <c r="I970" s="199" t="s">
        <v>2768</v>
      </c>
      <c r="J970" s="197" t="s">
        <v>56</v>
      </c>
      <c r="K970" s="200" t="s">
        <v>3518</v>
      </c>
      <c r="L970" s="54" t="s">
        <v>3519</v>
      </c>
      <c r="M970" s="201" t="s">
        <v>2735</v>
      </c>
      <c r="N970" s="124">
        <v>3</v>
      </c>
      <c r="O970" s="54"/>
      <c r="P970" s="54" t="s">
        <v>3520</v>
      </c>
      <c r="Q970" s="84"/>
      <c r="R970" s="190"/>
      <c r="S970" s="196"/>
    </row>
    <row r="971" spans="1:19" ht="47.25">
      <c r="A971" s="196" t="s">
        <v>3521</v>
      </c>
      <c r="B971" s="197" t="s">
        <v>53</v>
      </c>
      <c r="C971" s="197" t="s">
        <v>3123</v>
      </c>
      <c r="D971" s="124" t="s">
        <v>39</v>
      </c>
      <c r="E971" s="198">
        <v>45776</v>
      </c>
      <c r="F971" s="198">
        <v>45806</v>
      </c>
      <c r="G971" s="197" t="s">
        <v>71</v>
      </c>
      <c r="H971" s="199" t="s">
        <v>3522</v>
      </c>
      <c r="I971" s="199" t="s">
        <v>3523</v>
      </c>
      <c r="J971" s="197" t="s">
        <v>102</v>
      </c>
      <c r="K971" s="200" t="s">
        <v>3524</v>
      </c>
      <c r="L971" s="54" t="s">
        <v>3525</v>
      </c>
      <c r="M971" s="201" t="s">
        <v>2824</v>
      </c>
      <c r="N971" s="124">
        <v>2</v>
      </c>
      <c r="O971" s="54"/>
      <c r="P971" s="54" t="s">
        <v>3526</v>
      </c>
      <c r="Q971" s="84"/>
      <c r="R971" s="190"/>
      <c r="S971" s="196"/>
    </row>
    <row r="972" spans="1:19" ht="63" hidden="1">
      <c r="A972" s="196" t="s">
        <v>3527</v>
      </c>
      <c r="B972" s="197" t="s">
        <v>38</v>
      </c>
      <c r="C972" s="197" t="s">
        <v>886</v>
      </c>
      <c r="D972" s="124" t="s">
        <v>39</v>
      </c>
      <c r="E972" s="198">
        <v>45777</v>
      </c>
      <c r="F972" s="198">
        <v>45807</v>
      </c>
      <c r="G972" s="197" t="s">
        <v>2250</v>
      </c>
      <c r="H972" s="199" t="s">
        <v>3528</v>
      </c>
      <c r="I972" s="199" t="s">
        <v>2768</v>
      </c>
      <c r="J972" s="197" t="s">
        <v>56</v>
      </c>
      <c r="K972" s="200" t="s">
        <v>42</v>
      </c>
      <c r="L972" s="54" t="s">
        <v>3529</v>
      </c>
      <c r="M972" s="201" t="s">
        <v>2735</v>
      </c>
      <c r="N972" s="124">
        <v>2</v>
      </c>
      <c r="O972" s="54"/>
      <c r="P972" s="54" t="s">
        <v>3530</v>
      </c>
      <c r="Q972" s="84"/>
      <c r="R972" s="190"/>
      <c r="S972" s="196"/>
    </row>
    <row r="973" spans="1:19" ht="63" hidden="1">
      <c r="A973" s="196" t="s">
        <v>3531</v>
      </c>
      <c r="B973" s="197" t="s">
        <v>38</v>
      </c>
      <c r="C973" s="197" t="s">
        <v>3123</v>
      </c>
      <c r="D973" s="124" t="s">
        <v>39</v>
      </c>
      <c r="E973" s="198">
        <v>45777</v>
      </c>
      <c r="F973" s="198">
        <v>45838</v>
      </c>
      <c r="G973" s="197" t="s">
        <v>71</v>
      </c>
      <c r="H973" s="199" t="s">
        <v>2809</v>
      </c>
      <c r="I973" s="199" t="s">
        <v>2966</v>
      </c>
      <c r="J973" s="197" t="s">
        <v>56</v>
      </c>
      <c r="K973" s="200" t="s">
        <v>3532</v>
      </c>
      <c r="L973" s="54" t="s">
        <v>3533</v>
      </c>
      <c r="M973" s="201" t="s">
        <v>2735</v>
      </c>
      <c r="N973" s="124">
        <v>3</v>
      </c>
      <c r="O973" s="54"/>
      <c r="P973" s="54" t="s">
        <v>3534</v>
      </c>
      <c r="Q973" s="84"/>
      <c r="R973" s="190"/>
      <c r="S973" s="196"/>
    </row>
    <row r="974" spans="1:19" ht="26.25">
      <c r="A974" s="196" t="s">
        <v>3535</v>
      </c>
      <c r="B974" s="197" t="s">
        <v>53</v>
      </c>
      <c r="C974" s="197" t="s">
        <v>3123</v>
      </c>
      <c r="D974" s="124" t="s">
        <v>39</v>
      </c>
      <c r="E974" s="198">
        <v>45782</v>
      </c>
      <c r="F974" s="198">
        <v>45813</v>
      </c>
      <c r="G974" s="197" t="s">
        <v>71</v>
      </c>
      <c r="H974" s="199" t="s">
        <v>3536</v>
      </c>
      <c r="I974" s="199" t="s">
        <v>3537</v>
      </c>
      <c r="J974" s="197" t="s">
        <v>102</v>
      </c>
      <c r="K974" s="200" t="s">
        <v>3538</v>
      </c>
      <c r="L974" s="54" t="s">
        <v>3539</v>
      </c>
      <c r="M974" s="201" t="s">
        <v>2824</v>
      </c>
      <c r="N974" s="124">
        <v>3</v>
      </c>
      <c r="O974" s="54"/>
      <c r="P974" s="216" t="s">
        <v>3540</v>
      </c>
      <c r="Q974" s="84"/>
      <c r="R974" s="190"/>
      <c r="S974" s="196"/>
    </row>
    <row r="975" spans="1:19" ht="78.75">
      <c r="A975" s="196" t="s">
        <v>3541</v>
      </c>
      <c r="B975" s="197" t="s">
        <v>53</v>
      </c>
      <c r="C975" s="197" t="s">
        <v>3123</v>
      </c>
      <c r="D975" s="124" t="s">
        <v>39</v>
      </c>
      <c r="E975" s="198">
        <v>45784</v>
      </c>
      <c r="F975" s="198">
        <v>45815</v>
      </c>
      <c r="G975" s="197" t="s">
        <v>71</v>
      </c>
      <c r="H975" s="199" t="s">
        <v>3542</v>
      </c>
      <c r="I975" s="199" t="s">
        <v>3543</v>
      </c>
      <c r="J975" s="197" t="s">
        <v>102</v>
      </c>
      <c r="K975" s="200" t="s">
        <v>3544</v>
      </c>
      <c r="L975" s="54" t="s">
        <v>3545</v>
      </c>
      <c r="M975" s="201" t="s">
        <v>2741</v>
      </c>
      <c r="N975" s="124">
        <v>3</v>
      </c>
      <c r="O975" s="54"/>
      <c r="P975" s="54" t="s">
        <v>3546</v>
      </c>
      <c r="Q975" s="84"/>
      <c r="R975" s="190"/>
      <c r="S975" s="196"/>
    </row>
    <row r="976" spans="1:19" ht="31.5">
      <c r="A976" s="196" t="s">
        <v>3547</v>
      </c>
      <c r="B976" s="197" t="s">
        <v>53</v>
      </c>
      <c r="C976" s="197" t="s">
        <v>3123</v>
      </c>
      <c r="D976" s="124" t="s">
        <v>39</v>
      </c>
      <c r="E976" s="198">
        <v>45785</v>
      </c>
      <c r="F976" s="198">
        <v>45816</v>
      </c>
      <c r="G976" s="197" t="s">
        <v>71</v>
      </c>
      <c r="H976" s="199" t="s">
        <v>3536</v>
      </c>
      <c r="I976" s="199" t="s">
        <v>3548</v>
      </c>
      <c r="J976" s="197" t="s">
        <v>102</v>
      </c>
      <c r="K976" s="200" t="s">
        <v>3538</v>
      </c>
      <c r="L976" s="54" t="s">
        <v>3549</v>
      </c>
      <c r="M976" s="201" t="s">
        <v>2824</v>
      </c>
      <c r="N976" s="124">
        <v>3</v>
      </c>
      <c r="O976" s="54"/>
      <c r="P976" s="54" t="s">
        <v>3550</v>
      </c>
      <c r="Q976" s="84"/>
      <c r="R976" s="190"/>
      <c r="S976" s="196"/>
    </row>
    <row r="977" spans="1:19" ht="114" customHeight="1">
      <c r="A977" s="196" t="s">
        <v>3551</v>
      </c>
      <c r="B977" s="197" t="s">
        <v>53</v>
      </c>
      <c r="C977" s="197" t="s">
        <v>3123</v>
      </c>
      <c r="D977" s="124" t="s">
        <v>39</v>
      </c>
      <c r="E977" s="198">
        <v>45785</v>
      </c>
      <c r="F977" s="198">
        <v>45816</v>
      </c>
      <c r="G977" s="197" t="s">
        <v>71</v>
      </c>
      <c r="H977" s="199" t="s">
        <v>324</v>
      </c>
      <c r="I977" s="199" t="s">
        <v>2395</v>
      </c>
      <c r="J977" s="197" t="s">
        <v>3552</v>
      </c>
      <c r="K977" s="200" t="s">
        <v>3553</v>
      </c>
      <c r="L977" s="54" t="s">
        <v>3554</v>
      </c>
      <c r="M977" s="201" t="s">
        <v>2741</v>
      </c>
      <c r="N977" s="124">
        <v>3</v>
      </c>
      <c r="O977" s="54"/>
      <c r="P977" s="54" t="s">
        <v>3555</v>
      </c>
      <c r="Q977" s="84"/>
      <c r="R977" s="190"/>
      <c r="S977" s="196"/>
    </row>
    <row r="978" spans="1:19" ht="48.75" customHeight="1">
      <c r="A978" s="196" t="s">
        <v>3556</v>
      </c>
      <c r="B978" s="197" t="s">
        <v>53</v>
      </c>
      <c r="C978" s="197" t="s">
        <v>3123</v>
      </c>
      <c r="D978" s="124" t="s">
        <v>39</v>
      </c>
      <c r="E978" s="198">
        <v>45789</v>
      </c>
      <c r="F978" s="198">
        <v>45821</v>
      </c>
      <c r="G978" s="197" t="s">
        <v>279</v>
      </c>
      <c r="H978" s="199" t="s">
        <v>3557</v>
      </c>
      <c r="I978" s="199" t="s">
        <v>3558</v>
      </c>
      <c r="J978" s="197" t="s">
        <v>102</v>
      </c>
      <c r="K978" s="200" t="s">
        <v>3559</v>
      </c>
      <c r="L978" s="54" t="s">
        <v>3560</v>
      </c>
      <c r="M978" s="201" t="s">
        <v>2741</v>
      </c>
      <c r="N978" s="124">
        <v>3</v>
      </c>
      <c r="O978" s="124"/>
      <c r="P978" s="202" t="s">
        <v>3561</v>
      </c>
      <c r="Q978" s="84"/>
      <c r="R978" s="190"/>
      <c r="S978" s="196"/>
    </row>
    <row r="979" spans="1:19" ht="37.15" customHeight="1">
      <c r="A979" s="196" t="s">
        <v>3562</v>
      </c>
      <c r="B979" s="197" t="s">
        <v>53</v>
      </c>
      <c r="C979" s="197" t="s">
        <v>3123</v>
      </c>
      <c r="D979" s="124" t="s">
        <v>39</v>
      </c>
      <c r="E979" s="198">
        <v>45790</v>
      </c>
      <c r="F979" s="198">
        <v>45822</v>
      </c>
      <c r="G979" s="197" t="s">
        <v>71</v>
      </c>
      <c r="H979" s="199" t="s">
        <v>2739</v>
      </c>
      <c r="I979" s="199" t="s">
        <v>3563</v>
      </c>
      <c r="J979" s="197" t="s">
        <v>56</v>
      </c>
      <c r="K979" s="200" t="s">
        <v>3564</v>
      </c>
      <c r="L979" s="54" t="s">
        <v>3565</v>
      </c>
      <c r="M979" s="201" t="s">
        <v>2741</v>
      </c>
      <c r="N979" s="124">
        <v>3</v>
      </c>
      <c r="O979" s="124"/>
      <c r="P979" s="202" t="s">
        <v>3566</v>
      </c>
      <c r="Q979" s="84"/>
      <c r="R979" s="190"/>
      <c r="S979" s="196"/>
    </row>
    <row r="980" spans="1:19" ht="47.25">
      <c r="A980" s="196" t="s">
        <v>3567</v>
      </c>
      <c r="B980" s="197" t="s">
        <v>53</v>
      </c>
      <c r="C980" s="197" t="s">
        <v>3123</v>
      </c>
      <c r="D980" s="124" t="s">
        <v>39</v>
      </c>
      <c r="E980" s="198">
        <v>45791</v>
      </c>
      <c r="F980" s="198">
        <v>45822</v>
      </c>
      <c r="G980" s="197" t="s">
        <v>71</v>
      </c>
      <c r="H980" s="199" t="s">
        <v>1098</v>
      </c>
      <c r="I980" s="199" t="s">
        <v>3568</v>
      </c>
      <c r="J980" s="197" t="s">
        <v>56</v>
      </c>
      <c r="K980" s="200" t="s">
        <v>3569</v>
      </c>
      <c r="L980" s="54" t="s">
        <v>3570</v>
      </c>
      <c r="M980" s="201" t="s">
        <v>2824</v>
      </c>
      <c r="N980" s="124">
        <v>3</v>
      </c>
      <c r="O980" s="124"/>
      <c r="P980" s="202" t="s">
        <v>3571</v>
      </c>
      <c r="Q980" s="84"/>
      <c r="R980" s="190"/>
      <c r="S980" s="196"/>
    </row>
    <row r="981" spans="1:19" ht="37.15" customHeight="1">
      <c r="A981" s="196" t="s">
        <v>3572</v>
      </c>
      <c r="B981" s="197" t="s">
        <v>53</v>
      </c>
      <c r="C981" s="197" t="s">
        <v>3123</v>
      </c>
      <c r="D981" s="124" t="s">
        <v>39</v>
      </c>
      <c r="E981" s="198">
        <v>45791</v>
      </c>
      <c r="F981" s="198">
        <v>45822</v>
      </c>
      <c r="G981" s="197" t="s">
        <v>71</v>
      </c>
      <c r="H981" s="199" t="s">
        <v>2493</v>
      </c>
      <c r="I981" s="199" t="s">
        <v>3453</v>
      </c>
      <c r="J981" s="197" t="s">
        <v>56</v>
      </c>
      <c r="K981" s="200" t="s">
        <v>3573</v>
      </c>
      <c r="L981" s="54" t="s">
        <v>3574</v>
      </c>
      <c r="M981" s="57" t="s">
        <v>2741</v>
      </c>
      <c r="N981" s="124">
        <v>3</v>
      </c>
      <c r="O981" s="124"/>
      <c r="P981" s="202" t="s">
        <v>3575</v>
      </c>
      <c r="Q981" s="84"/>
      <c r="R981" s="190"/>
      <c r="S981" s="196"/>
    </row>
    <row r="982" spans="1:19" ht="47.25">
      <c r="A982" s="196" t="s">
        <v>3576</v>
      </c>
      <c r="B982" s="197" t="s">
        <v>53</v>
      </c>
      <c r="C982" s="197" t="s">
        <v>3496</v>
      </c>
      <c r="D982" s="124" t="s">
        <v>39</v>
      </c>
      <c r="E982" s="198">
        <v>45797</v>
      </c>
      <c r="F982" s="198">
        <v>45828</v>
      </c>
      <c r="G982" s="197" t="s">
        <v>71</v>
      </c>
      <c r="H982" s="199" t="s">
        <v>3048</v>
      </c>
      <c r="I982" s="199" t="s">
        <v>2966</v>
      </c>
      <c r="J982" s="197" t="s">
        <v>81</v>
      </c>
      <c r="K982" s="200" t="s">
        <v>3577</v>
      </c>
      <c r="L982" s="54" t="s">
        <v>3578</v>
      </c>
      <c r="M982" s="201" t="s">
        <v>2824</v>
      </c>
      <c r="N982" s="124">
        <v>3</v>
      </c>
      <c r="O982" s="124"/>
      <c r="P982" s="202" t="s">
        <v>3579</v>
      </c>
      <c r="Q982" s="84"/>
      <c r="R982" s="190"/>
      <c r="S982" s="196"/>
    </row>
    <row r="983" spans="1:19" ht="37.15" hidden="1" customHeight="1">
      <c r="A983" s="196" t="s">
        <v>3580</v>
      </c>
      <c r="B983" s="197" t="s">
        <v>38</v>
      </c>
      <c r="C983" s="197" t="s">
        <v>3123</v>
      </c>
      <c r="D983" s="124" t="s">
        <v>39</v>
      </c>
      <c r="E983" s="198">
        <v>45799</v>
      </c>
      <c r="F983" s="198">
        <v>45830</v>
      </c>
      <c r="G983" s="197" t="s">
        <v>108</v>
      </c>
      <c r="H983" s="199" t="s">
        <v>3581</v>
      </c>
      <c r="I983" s="199" t="s">
        <v>3582</v>
      </c>
      <c r="J983" s="197" t="s">
        <v>3583</v>
      </c>
      <c r="K983" s="200" t="s">
        <v>3584</v>
      </c>
      <c r="L983" s="54" t="s">
        <v>3585</v>
      </c>
      <c r="M983" s="201" t="s">
        <v>2735</v>
      </c>
      <c r="N983" s="124">
        <v>3</v>
      </c>
      <c r="O983" s="124"/>
      <c r="P983" s="202" t="s">
        <v>3586</v>
      </c>
      <c r="Q983" s="84"/>
      <c r="R983" s="190"/>
      <c r="S983" s="196"/>
    </row>
    <row r="984" spans="1:19" ht="47.25" hidden="1">
      <c r="A984" s="196" t="s">
        <v>3587</v>
      </c>
      <c r="B984" s="197" t="s">
        <v>38</v>
      </c>
      <c r="C984" s="197" t="s">
        <v>3123</v>
      </c>
      <c r="D984" s="124" t="s">
        <v>39</v>
      </c>
      <c r="E984" s="198">
        <v>45799</v>
      </c>
      <c r="F984" s="198">
        <v>45830</v>
      </c>
      <c r="G984" s="197" t="s">
        <v>108</v>
      </c>
      <c r="H984" s="199" t="s">
        <v>3588</v>
      </c>
      <c r="I984" s="199" t="s">
        <v>2966</v>
      </c>
      <c r="J984" s="197" t="s">
        <v>56</v>
      </c>
      <c r="K984" s="200" t="s">
        <v>3589</v>
      </c>
      <c r="L984" s="54" t="s">
        <v>3590</v>
      </c>
      <c r="M984" s="201" t="s">
        <v>2735</v>
      </c>
      <c r="N984" s="124">
        <v>3</v>
      </c>
      <c r="O984" s="124"/>
      <c r="P984" s="202" t="s">
        <v>3591</v>
      </c>
      <c r="Q984" s="84"/>
      <c r="R984" s="190"/>
      <c r="S984" s="196"/>
    </row>
    <row r="985" spans="1:19" ht="37.15" customHeight="1">
      <c r="A985" s="196" t="s">
        <v>3592</v>
      </c>
      <c r="B985" s="197" t="s">
        <v>53</v>
      </c>
      <c r="C985" s="197" t="s">
        <v>3123</v>
      </c>
      <c r="D985" s="124" t="s">
        <v>39</v>
      </c>
      <c r="E985" s="198">
        <v>45800</v>
      </c>
      <c r="F985" s="198">
        <v>45831</v>
      </c>
      <c r="G985" s="197" t="s">
        <v>71</v>
      </c>
      <c r="H985" s="199" t="s">
        <v>1098</v>
      </c>
      <c r="I985" s="199" t="s">
        <v>2966</v>
      </c>
      <c r="J985" s="197" t="s">
        <v>56</v>
      </c>
      <c r="K985" s="200" t="s">
        <v>3593</v>
      </c>
      <c r="L985" s="217" t="s">
        <v>3594</v>
      </c>
      <c r="M985" s="201" t="s">
        <v>2824</v>
      </c>
      <c r="N985" s="124">
        <v>3</v>
      </c>
      <c r="O985" s="124"/>
      <c r="P985" s="217" t="s">
        <v>3595</v>
      </c>
      <c r="Q985" s="84"/>
      <c r="R985" s="190"/>
      <c r="S985" s="196"/>
    </row>
    <row r="986" spans="1:19" ht="37.15" customHeight="1">
      <c r="A986" s="196" t="s">
        <v>3596</v>
      </c>
      <c r="B986" s="197" t="s">
        <v>53</v>
      </c>
      <c r="C986" s="197" t="s">
        <v>3123</v>
      </c>
      <c r="D986" s="124" t="s">
        <v>39</v>
      </c>
      <c r="E986" s="198">
        <v>45807</v>
      </c>
      <c r="F986" s="198">
        <v>45838</v>
      </c>
      <c r="G986" s="197" t="s">
        <v>71</v>
      </c>
      <c r="H986" s="199" t="s">
        <v>3597</v>
      </c>
      <c r="I986" s="199" t="s">
        <v>3598</v>
      </c>
      <c r="J986" s="197" t="s">
        <v>2347</v>
      </c>
      <c r="K986" s="200" t="s">
        <v>3599</v>
      </c>
      <c r="L986" s="54" t="s">
        <v>3600</v>
      </c>
      <c r="M986" s="201" t="s">
        <v>2824</v>
      </c>
      <c r="N986" s="124">
        <v>3</v>
      </c>
      <c r="O986" s="124"/>
      <c r="P986" s="202" t="s">
        <v>3601</v>
      </c>
      <c r="Q986" s="84"/>
      <c r="R986" s="190"/>
      <c r="S986" s="196"/>
    </row>
    <row r="987" spans="1:19" ht="58.7" customHeight="1">
      <c r="A987" s="196" t="s">
        <v>3602</v>
      </c>
      <c r="B987" s="197" t="s">
        <v>2827</v>
      </c>
      <c r="C987" s="197" t="s">
        <v>886</v>
      </c>
      <c r="D987" s="124" t="s">
        <v>39</v>
      </c>
      <c r="E987" s="198">
        <v>45811</v>
      </c>
      <c r="F987" s="198">
        <v>45841</v>
      </c>
      <c r="G987" s="197" t="s">
        <v>886</v>
      </c>
      <c r="H987" s="199" t="s">
        <v>587</v>
      </c>
      <c r="I987" s="199" t="s">
        <v>3603</v>
      </c>
      <c r="J987" s="197" t="s">
        <v>3604</v>
      </c>
      <c r="K987" s="200" t="s">
        <v>3605</v>
      </c>
      <c r="L987" s="54" t="s">
        <v>3606</v>
      </c>
      <c r="M987" s="201" t="s">
        <v>2824</v>
      </c>
      <c r="N987" s="124">
        <v>3</v>
      </c>
      <c r="O987" s="124"/>
      <c r="P987" s="218" t="s">
        <v>3607</v>
      </c>
      <c r="Q987" s="84"/>
      <c r="R987" s="190"/>
      <c r="S987" s="196"/>
    </row>
    <row r="988" spans="1:19" ht="47.25">
      <c r="A988" s="196" t="s">
        <v>3608</v>
      </c>
      <c r="B988" s="197" t="s">
        <v>2827</v>
      </c>
      <c r="C988" s="197" t="s">
        <v>3123</v>
      </c>
      <c r="D988" s="124" t="s">
        <v>39</v>
      </c>
      <c r="E988" s="198">
        <v>45817</v>
      </c>
      <c r="F988" s="198">
        <v>45847</v>
      </c>
      <c r="G988" s="197" t="s">
        <v>279</v>
      </c>
      <c r="H988" s="199" t="s">
        <v>3609</v>
      </c>
      <c r="I988" s="199" t="s">
        <v>3039</v>
      </c>
      <c r="J988" s="197" t="s">
        <v>56</v>
      </c>
      <c r="K988" s="200" t="s">
        <v>3610</v>
      </c>
      <c r="L988" s="54" t="s">
        <v>3611</v>
      </c>
      <c r="M988" s="201" t="s">
        <v>3612</v>
      </c>
      <c r="N988" s="124">
        <v>3</v>
      </c>
      <c r="O988" s="124"/>
      <c r="P988" s="202" t="s">
        <v>3613</v>
      </c>
      <c r="Q988" s="84"/>
      <c r="R988" s="190"/>
      <c r="S988" s="196"/>
    </row>
    <row r="989" spans="1:19" ht="51.75">
      <c r="A989" s="196" t="s">
        <v>3614</v>
      </c>
      <c r="B989" s="197" t="s">
        <v>53</v>
      </c>
      <c r="C989" s="197" t="s">
        <v>3123</v>
      </c>
      <c r="D989" s="124" t="s">
        <v>39</v>
      </c>
      <c r="E989" s="198">
        <v>45818</v>
      </c>
      <c r="F989" s="198">
        <v>45848</v>
      </c>
      <c r="G989" s="197" t="s">
        <v>71</v>
      </c>
      <c r="H989" s="199" t="s">
        <v>3615</v>
      </c>
      <c r="I989" s="199" t="s">
        <v>3616</v>
      </c>
      <c r="J989" s="197" t="s">
        <v>56</v>
      </c>
      <c r="K989" s="200" t="s">
        <v>3617</v>
      </c>
      <c r="L989" s="219" t="s">
        <v>3618</v>
      </c>
      <c r="M989" s="201" t="s">
        <v>2824</v>
      </c>
      <c r="N989" s="124">
        <v>2</v>
      </c>
      <c r="O989" s="124"/>
      <c r="P989" s="220" t="s">
        <v>3316</v>
      </c>
      <c r="Q989" s="84"/>
      <c r="R989" s="190"/>
      <c r="S989" s="196"/>
    </row>
    <row r="990" spans="1:19" ht="78.75">
      <c r="A990" s="196" t="s">
        <v>3619</v>
      </c>
      <c r="B990" s="197" t="s">
        <v>53</v>
      </c>
      <c r="C990" s="197" t="s">
        <v>3123</v>
      </c>
      <c r="D990" s="124" t="s">
        <v>39</v>
      </c>
      <c r="E990" s="198">
        <v>45820</v>
      </c>
      <c r="F990" s="198">
        <v>45850</v>
      </c>
      <c r="G990" s="197" t="s">
        <v>71</v>
      </c>
      <c r="H990" s="199" t="s">
        <v>3615</v>
      </c>
      <c r="I990" s="199" t="s">
        <v>3039</v>
      </c>
      <c r="J990" s="197" t="s">
        <v>81</v>
      </c>
      <c r="K990" s="200" t="s">
        <v>3620</v>
      </c>
      <c r="L990" s="54" t="s">
        <v>3621</v>
      </c>
      <c r="M990" s="201" t="s">
        <v>2824</v>
      </c>
      <c r="N990" s="124">
        <v>1</v>
      </c>
      <c r="O990" s="124"/>
      <c r="P990" s="217" t="s">
        <v>3622</v>
      </c>
      <c r="Q990" s="84"/>
      <c r="R990" s="190"/>
      <c r="S990" s="196"/>
    </row>
    <row r="991" spans="1:19" ht="45" hidden="1">
      <c r="A991" s="196" t="s">
        <v>3623</v>
      </c>
      <c r="B991" s="197" t="s">
        <v>38</v>
      </c>
      <c r="C991" s="197" t="s">
        <v>3123</v>
      </c>
      <c r="D991" s="124" t="s">
        <v>39</v>
      </c>
      <c r="E991" s="198">
        <v>45825</v>
      </c>
      <c r="F991" s="198">
        <v>45855</v>
      </c>
      <c r="G991" s="197" t="s">
        <v>71</v>
      </c>
      <c r="H991" s="199" t="s">
        <v>3624</v>
      </c>
      <c r="I991" s="199" t="s">
        <v>3625</v>
      </c>
      <c r="J991" s="197" t="s">
        <v>3604</v>
      </c>
      <c r="K991" s="200" t="s">
        <v>3626</v>
      </c>
      <c r="L991" s="54" t="s">
        <v>3627</v>
      </c>
      <c r="M991" s="201" t="s">
        <v>2735</v>
      </c>
      <c r="N991" s="124">
        <v>2</v>
      </c>
      <c r="O991" s="124"/>
      <c r="P991" s="202" t="s">
        <v>3628</v>
      </c>
      <c r="Q991" s="84"/>
      <c r="R991" s="190"/>
      <c r="S991" s="196"/>
    </row>
    <row r="992" spans="1:19" ht="47.25">
      <c r="A992" s="196" t="s">
        <v>3629</v>
      </c>
      <c r="B992" s="197" t="s">
        <v>53</v>
      </c>
      <c r="C992" s="197" t="s">
        <v>3123</v>
      </c>
      <c r="D992" s="124" t="s">
        <v>39</v>
      </c>
      <c r="E992" s="198">
        <v>45825</v>
      </c>
      <c r="F992" s="198">
        <v>45855</v>
      </c>
      <c r="G992" s="197" t="s">
        <v>71</v>
      </c>
      <c r="H992" s="199" t="s">
        <v>3318</v>
      </c>
      <c r="I992" s="199" t="s">
        <v>2966</v>
      </c>
      <c r="J992" s="197" t="s">
        <v>56</v>
      </c>
      <c r="K992" s="200" t="s">
        <v>3630</v>
      </c>
      <c r="L992" s="54" t="s">
        <v>3631</v>
      </c>
      <c r="M992" s="201" t="s">
        <v>2824</v>
      </c>
      <c r="N992" s="124">
        <v>2</v>
      </c>
      <c r="O992" s="124"/>
      <c r="P992" s="220" t="s">
        <v>3632</v>
      </c>
      <c r="Q992" s="84"/>
      <c r="R992" s="190"/>
      <c r="S992" s="196"/>
    </row>
    <row r="993" spans="1:19" ht="30" hidden="1">
      <c r="A993" s="196" t="s">
        <v>3633</v>
      </c>
      <c r="B993" s="197" t="s">
        <v>38</v>
      </c>
      <c r="C993" s="197" t="s">
        <v>3123</v>
      </c>
      <c r="D993" s="124" t="s">
        <v>39</v>
      </c>
      <c r="E993" s="198">
        <v>45828</v>
      </c>
      <c r="F993" s="198">
        <v>45858</v>
      </c>
      <c r="G993" s="197" t="s">
        <v>71</v>
      </c>
      <c r="H993" s="199" t="s">
        <v>3634</v>
      </c>
      <c r="I993" s="199" t="s">
        <v>3384</v>
      </c>
      <c r="J993" s="197" t="s">
        <v>56</v>
      </c>
      <c r="K993" s="200" t="s">
        <v>3635</v>
      </c>
      <c r="L993" s="54" t="s">
        <v>3636</v>
      </c>
      <c r="M993" s="201" t="s">
        <v>2735</v>
      </c>
      <c r="N993" s="124">
        <v>2</v>
      </c>
      <c r="O993" s="124"/>
      <c r="P993" s="202" t="s">
        <v>3637</v>
      </c>
      <c r="Q993" s="84"/>
      <c r="R993" s="190"/>
      <c r="S993" s="196"/>
    </row>
    <row r="994" spans="1:19" ht="30" hidden="1">
      <c r="A994" s="196" t="s">
        <v>3638</v>
      </c>
      <c r="B994" s="197" t="s">
        <v>38</v>
      </c>
      <c r="C994" s="197" t="s">
        <v>3123</v>
      </c>
      <c r="D994" s="124" t="s">
        <v>39</v>
      </c>
      <c r="E994" s="198">
        <v>45831</v>
      </c>
      <c r="F994" s="198">
        <v>45861</v>
      </c>
      <c r="G994" s="197" t="s">
        <v>108</v>
      </c>
      <c r="H994" s="199" t="s">
        <v>3639</v>
      </c>
      <c r="I994" s="199" t="s">
        <v>3625</v>
      </c>
      <c r="J994" s="197" t="s">
        <v>3640</v>
      </c>
      <c r="K994" s="200" t="s">
        <v>3641</v>
      </c>
      <c r="L994" s="54" t="s">
        <v>3642</v>
      </c>
      <c r="M994" s="201" t="s">
        <v>2735</v>
      </c>
      <c r="N994" s="124">
        <v>2</v>
      </c>
      <c r="O994" s="124"/>
      <c r="P994" s="202" t="s">
        <v>3643</v>
      </c>
      <c r="Q994" s="84"/>
      <c r="R994" s="190"/>
      <c r="S994" s="196"/>
    </row>
    <row r="995" spans="1:19" ht="39">
      <c r="A995" s="196" t="s">
        <v>3644</v>
      </c>
      <c r="B995" s="197" t="s">
        <v>53</v>
      </c>
      <c r="C995" s="197" t="s">
        <v>3123</v>
      </c>
      <c r="D995" s="124" t="s">
        <v>39</v>
      </c>
      <c r="E995" s="198">
        <v>45845</v>
      </c>
      <c r="F995" s="198">
        <v>45876</v>
      </c>
      <c r="G995" s="197" t="s">
        <v>71</v>
      </c>
      <c r="H995" s="199" t="s">
        <v>1098</v>
      </c>
      <c r="I995" s="199" t="s">
        <v>3645</v>
      </c>
      <c r="J995" s="197" t="s">
        <v>56</v>
      </c>
      <c r="K995" s="200" t="s">
        <v>3646</v>
      </c>
      <c r="L995" s="217" t="s">
        <v>3647</v>
      </c>
      <c r="M995" s="201" t="s">
        <v>2824</v>
      </c>
      <c r="N995" s="124">
        <v>3</v>
      </c>
      <c r="O995" s="124"/>
      <c r="P995" s="217" t="s">
        <v>3341</v>
      </c>
      <c r="Q995" s="84"/>
      <c r="R995" s="190"/>
      <c r="S995" s="196"/>
    </row>
    <row r="996" spans="1:19" ht="75">
      <c r="A996" s="196" t="s">
        <v>3648</v>
      </c>
      <c r="B996" s="197" t="s">
        <v>53</v>
      </c>
      <c r="C996" s="197" t="s">
        <v>3123</v>
      </c>
      <c r="D996" s="124" t="s">
        <v>39</v>
      </c>
      <c r="E996" s="198">
        <v>45848</v>
      </c>
      <c r="F996" s="198">
        <v>45930</v>
      </c>
      <c r="G996" s="197" t="s">
        <v>71</v>
      </c>
      <c r="H996" s="199" t="s">
        <v>3649</v>
      </c>
      <c r="I996" s="199" t="s">
        <v>3059</v>
      </c>
      <c r="J996" s="197" t="s">
        <v>56</v>
      </c>
      <c r="K996" s="200" t="s">
        <v>3650</v>
      </c>
      <c r="L996" s="221" t="s">
        <v>3651</v>
      </c>
      <c r="M996" s="201" t="s">
        <v>2741</v>
      </c>
      <c r="N996" s="124">
        <v>3</v>
      </c>
      <c r="O996" s="124"/>
      <c r="P996" s="202" t="s">
        <v>3652</v>
      </c>
      <c r="Q996" s="84"/>
      <c r="R996" s="190"/>
      <c r="S996" s="196"/>
    </row>
    <row r="997" spans="1:19" ht="31.5">
      <c r="A997" s="196" t="s">
        <v>3653</v>
      </c>
      <c r="B997" s="197" t="s">
        <v>53</v>
      </c>
      <c r="C997" s="197" t="s">
        <v>3123</v>
      </c>
      <c r="D997" s="124" t="s">
        <v>39</v>
      </c>
      <c r="E997" s="198">
        <v>45849</v>
      </c>
      <c r="F997" s="198">
        <v>45880</v>
      </c>
      <c r="G997" s="197" t="s">
        <v>71</v>
      </c>
      <c r="H997" s="199" t="s">
        <v>2156</v>
      </c>
      <c r="I997" s="199" t="s">
        <v>3654</v>
      </c>
      <c r="J997" s="197" t="s">
        <v>56</v>
      </c>
      <c r="K997" s="200" t="s">
        <v>3655</v>
      </c>
      <c r="L997" s="54" t="s">
        <v>3656</v>
      </c>
      <c r="M997" s="201" t="s">
        <v>2824</v>
      </c>
      <c r="N997" s="124">
        <v>3</v>
      </c>
      <c r="O997" s="124"/>
      <c r="P997" s="202" t="s">
        <v>3657</v>
      </c>
      <c r="Q997" s="84"/>
      <c r="R997" s="190"/>
      <c r="S997" s="196"/>
    </row>
    <row r="998" spans="1:19" ht="180">
      <c r="A998" s="196" t="s">
        <v>3658</v>
      </c>
      <c r="B998" s="197" t="s">
        <v>53</v>
      </c>
      <c r="C998" s="197" t="s">
        <v>3123</v>
      </c>
      <c r="D998" s="124" t="s">
        <v>39</v>
      </c>
      <c r="E998" s="198">
        <v>45849</v>
      </c>
      <c r="F998" s="198">
        <v>45880</v>
      </c>
      <c r="G998" s="197" t="s">
        <v>71</v>
      </c>
      <c r="H998" s="199" t="s">
        <v>3659</v>
      </c>
      <c r="I998" s="199" t="s">
        <v>3660</v>
      </c>
      <c r="J998" s="197" t="s">
        <v>3661</v>
      </c>
      <c r="K998" s="200"/>
      <c r="L998" s="54" t="s">
        <v>3662</v>
      </c>
      <c r="M998" s="201" t="s">
        <v>2741</v>
      </c>
      <c r="N998" s="124">
        <v>3</v>
      </c>
      <c r="O998" s="124"/>
      <c r="P998" s="202" t="s">
        <v>3663</v>
      </c>
      <c r="Q998" s="84"/>
      <c r="R998" s="190"/>
      <c r="S998" s="196"/>
    </row>
    <row r="999" spans="1:19" ht="78.75">
      <c r="A999" s="196" t="s">
        <v>3664</v>
      </c>
      <c r="B999" s="197" t="s">
        <v>53</v>
      </c>
      <c r="C999" s="197" t="s">
        <v>3123</v>
      </c>
      <c r="D999" s="124" t="s">
        <v>39</v>
      </c>
      <c r="E999" s="198">
        <v>45860</v>
      </c>
      <c r="F999" s="198">
        <v>45891</v>
      </c>
      <c r="G999" s="197" t="s">
        <v>71</v>
      </c>
      <c r="H999" s="199" t="s">
        <v>3665</v>
      </c>
      <c r="I999" s="199" t="s">
        <v>3666</v>
      </c>
      <c r="J999" s="197" t="s">
        <v>56</v>
      </c>
      <c r="K999" s="200" t="s">
        <v>3667</v>
      </c>
      <c r="L999" s="54" t="s">
        <v>3668</v>
      </c>
      <c r="M999" s="201" t="s">
        <v>2741</v>
      </c>
      <c r="N999" s="124">
        <v>3</v>
      </c>
      <c r="O999" s="124"/>
      <c r="P999" s="202" t="s">
        <v>3669</v>
      </c>
      <c r="Q999" s="84"/>
      <c r="R999" s="190"/>
      <c r="S999" s="196"/>
    </row>
    <row r="1000" spans="1:19" ht="31.5">
      <c r="A1000" s="196" t="s">
        <v>3670</v>
      </c>
      <c r="B1000" s="197" t="s">
        <v>53</v>
      </c>
      <c r="C1000" s="197" t="s">
        <v>886</v>
      </c>
      <c r="D1000" s="124" t="s">
        <v>39</v>
      </c>
      <c r="E1000" s="198">
        <v>45860</v>
      </c>
      <c r="F1000" s="198">
        <v>45891</v>
      </c>
      <c r="G1000" s="197" t="s">
        <v>71</v>
      </c>
      <c r="H1000" s="199" t="s">
        <v>3671</v>
      </c>
      <c r="I1000" s="199" t="s">
        <v>3672</v>
      </c>
      <c r="J1000" s="197" t="s">
        <v>3673</v>
      </c>
      <c r="K1000" s="200"/>
      <c r="L1000" s="54" t="s">
        <v>3674</v>
      </c>
      <c r="M1000" s="201" t="s">
        <v>3675</v>
      </c>
      <c r="N1000" s="124">
        <v>3</v>
      </c>
      <c r="O1000" s="124"/>
      <c r="P1000" s="202" t="s">
        <v>3676</v>
      </c>
      <c r="Q1000" s="84"/>
      <c r="R1000" s="190"/>
      <c r="S1000" s="196"/>
    </row>
    <row r="1001" spans="1:19" ht="26.25">
      <c r="A1001" s="196" t="s">
        <v>3677</v>
      </c>
      <c r="B1001" s="197" t="s">
        <v>53</v>
      </c>
      <c r="C1001" s="197" t="s">
        <v>3123</v>
      </c>
      <c r="D1001" s="124" t="s">
        <v>39</v>
      </c>
      <c r="E1001" s="198">
        <v>45860</v>
      </c>
      <c r="F1001" s="198">
        <v>45891</v>
      </c>
      <c r="G1001" s="197" t="s">
        <v>71</v>
      </c>
      <c r="H1001" s="199" t="s">
        <v>1098</v>
      </c>
      <c r="I1001" s="199" t="s">
        <v>3678</v>
      </c>
      <c r="J1001" s="197" t="s">
        <v>56</v>
      </c>
      <c r="K1001" s="200" t="s">
        <v>3679</v>
      </c>
      <c r="L1001" s="217" t="s">
        <v>3680</v>
      </c>
      <c r="M1001" s="201" t="s">
        <v>2824</v>
      </c>
      <c r="N1001" s="124">
        <v>3</v>
      </c>
      <c r="O1001" s="124"/>
      <c r="P1001" s="217" t="s">
        <v>3681</v>
      </c>
      <c r="Q1001" s="84"/>
      <c r="R1001" s="190"/>
      <c r="S1001" s="196"/>
    </row>
    <row r="1002" spans="1:19" ht="30">
      <c r="A1002" s="196" t="s">
        <v>3682</v>
      </c>
      <c r="B1002" s="197" t="s">
        <v>53</v>
      </c>
      <c r="C1002" s="197" t="s">
        <v>3123</v>
      </c>
      <c r="D1002" s="124" t="s">
        <v>39</v>
      </c>
      <c r="E1002" s="198">
        <v>45861</v>
      </c>
      <c r="F1002" s="198">
        <v>45892</v>
      </c>
      <c r="G1002" s="197" t="s">
        <v>71</v>
      </c>
      <c r="H1002" s="199" t="s">
        <v>596</v>
      </c>
      <c r="I1002" s="204" t="s">
        <v>3074</v>
      </c>
      <c r="J1002" s="197" t="s">
        <v>56</v>
      </c>
      <c r="K1002" s="200" t="s">
        <v>3683</v>
      </c>
      <c r="L1002" s="213" t="s">
        <v>3684</v>
      </c>
      <c r="M1002" s="201" t="s">
        <v>2824</v>
      </c>
      <c r="N1002" s="124">
        <v>3</v>
      </c>
      <c r="O1002" s="124"/>
      <c r="P1002" s="202" t="s">
        <v>3685</v>
      </c>
      <c r="Q1002" s="84"/>
      <c r="R1002" s="190"/>
      <c r="S1002" s="196"/>
    </row>
    <row r="1003" spans="1:19" ht="39">
      <c r="A1003" s="196" t="s">
        <v>3686</v>
      </c>
      <c r="B1003" s="197" t="s">
        <v>53</v>
      </c>
      <c r="C1003" s="197" t="s">
        <v>3123</v>
      </c>
      <c r="D1003" s="124" t="s">
        <v>39</v>
      </c>
      <c r="E1003" s="198">
        <v>45862</v>
      </c>
      <c r="F1003" s="198">
        <v>45893</v>
      </c>
      <c r="G1003" s="197" t="s">
        <v>71</v>
      </c>
      <c r="H1003" s="199" t="s">
        <v>2156</v>
      </c>
      <c r="I1003" s="199" t="s">
        <v>3039</v>
      </c>
      <c r="J1003" s="197" t="s">
        <v>81</v>
      </c>
      <c r="K1003" s="200" t="s">
        <v>3687</v>
      </c>
      <c r="L1003" s="220" t="s">
        <v>3688</v>
      </c>
      <c r="M1003" s="201" t="s">
        <v>2824</v>
      </c>
      <c r="N1003" s="124">
        <v>3</v>
      </c>
      <c r="O1003" s="124"/>
      <c r="P1003" s="220" t="s">
        <v>3689</v>
      </c>
      <c r="Q1003" s="84"/>
      <c r="R1003" s="190"/>
      <c r="S1003" s="196"/>
    </row>
    <row r="1004" spans="1:19" ht="120">
      <c r="A1004" s="196" t="s">
        <v>3690</v>
      </c>
      <c r="B1004" s="197" t="s">
        <v>53</v>
      </c>
      <c r="C1004" s="197" t="s">
        <v>3123</v>
      </c>
      <c r="D1004" s="124" t="s">
        <v>39</v>
      </c>
      <c r="E1004" s="198">
        <v>45862</v>
      </c>
      <c r="F1004" s="198">
        <v>45893</v>
      </c>
      <c r="G1004" s="197" t="s">
        <v>71</v>
      </c>
      <c r="H1004" s="199" t="s">
        <v>3691</v>
      </c>
      <c r="I1004" s="199" t="s">
        <v>2924</v>
      </c>
      <c r="J1004" s="197" t="s">
        <v>56</v>
      </c>
      <c r="K1004" s="200" t="s">
        <v>3692</v>
      </c>
      <c r="L1004" s="54" t="s">
        <v>3693</v>
      </c>
      <c r="M1004" s="201" t="s">
        <v>2741</v>
      </c>
      <c r="N1004" s="124">
        <v>3</v>
      </c>
      <c r="O1004" s="124"/>
      <c r="P1004" s="202" t="s">
        <v>3694</v>
      </c>
      <c r="Q1004" s="84"/>
      <c r="R1004" s="190"/>
      <c r="S1004" s="196"/>
    </row>
    <row r="1005" spans="1:19" ht="45" hidden="1">
      <c r="A1005" s="196" t="s">
        <v>3695</v>
      </c>
      <c r="B1005" s="197" t="s">
        <v>38</v>
      </c>
      <c r="C1005" s="197" t="s">
        <v>3123</v>
      </c>
      <c r="D1005" s="124" t="s">
        <v>39</v>
      </c>
      <c r="E1005" s="198">
        <v>45862</v>
      </c>
      <c r="F1005" s="198">
        <v>45893</v>
      </c>
      <c r="G1005" s="197" t="s">
        <v>108</v>
      </c>
      <c r="H1005" s="199" t="s">
        <v>3696</v>
      </c>
      <c r="I1005" s="199" t="s">
        <v>3697</v>
      </c>
      <c r="J1005" s="197" t="s">
        <v>56</v>
      </c>
      <c r="K1005" s="200" t="s">
        <v>3698</v>
      </c>
      <c r="L1005" s="54" t="s">
        <v>3699</v>
      </c>
      <c r="M1005" s="201" t="s">
        <v>2735</v>
      </c>
      <c r="N1005" s="124">
        <v>3</v>
      </c>
      <c r="O1005" s="124"/>
      <c r="P1005" s="202" t="s">
        <v>3700</v>
      </c>
      <c r="Q1005" s="84"/>
      <c r="R1005" s="190"/>
      <c r="S1005" s="196"/>
    </row>
    <row r="1006" spans="1:19" ht="45" hidden="1">
      <c r="A1006" s="196" t="s">
        <v>3701</v>
      </c>
      <c r="B1006" s="197" t="s">
        <v>38</v>
      </c>
      <c r="C1006" s="197" t="s">
        <v>3496</v>
      </c>
      <c r="D1006" s="124" t="s">
        <v>39</v>
      </c>
      <c r="E1006" s="198">
        <v>45862</v>
      </c>
      <c r="F1006" s="198">
        <v>45893</v>
      </c>
      <c r="G1006" s="197" t="s">
        <v>108</v>
      </c>
      <c r="H1006" s="213" t="s">
        <v>3702</v>
      </c>
      <c r="I1006" s="199" t="s">
        <v>3384</v>
      </c>
      <c r="J1006" s="197" t="s">
        <v>2191</v>
      </c>
      <c r="K1006" s="214" t="s">
        <v>3703</v>
      </c>
      <c r="L1006" s="54" t="s">
        <v>3704</v>
      </c>
      <c r="M1006" s="201" t="s">
        <v>2735</v>
      </c>
      <c r="N1006" s="124">
        <v>3</v>
      </c>
      <c r="O1006" s="124"/>
      <c r="P1006" s="202" t="s">
        <v>3705</v>
      </c>
      <c r="Q1006" s="84"/>
      <c r="R1006" s="190"/>
      <c r="S1006" s="196"/>
    </row>
    <row r="1007" spans="1:19" ht="30">
      <c r="A1007" s="196" t="s">
        <v>3706</v>
      </c>
      <c r="B1007" s="197" t="s">
        <v>53</v>
      </c>
      <c r="C1007" s="197" t="s">
        <v>3496</v>
      </c>
      <c r="D1007" s="124" t="s">
        <v>39</v>
      </c>
      <c r="E1007" s="198">
        <v>45867</v>
      </c>
      <c r="F1007" s="198">
        <v>45898</v>
      </c>
      <c r="G1007" s="197" t="s">
        <v>71</v>
      </c>
      <c r="H1007" s="199" t="s">
        <v>681</v>
      </c>
      <c r="I1007" s="199" t="s">
        <v>3707</v>
      </c>
      <c r="J1007" s="197" t="s">
        <v>56</v>
      </c>
      <c r="K1007" s="200" t="s">
        <v>3708</v>
      </c>
      <c r="L1007" s="67" t="s">
        <v>3709</v>
      </c>
      <c r="M1007" s="201" t="s">
        <v>2741</v>
      </c>
      <c r="N1007" s="124">
        <v>3</v>
      </c>
      <c r="O1007" s="124"/>
      <c r="P1007" s="202" t="s">
        <v>3710</v>
      </c>
      <c r="Q1007" s="84"/>
      <c r="R1007" s="190"/>
      <c r="S1007" s="196"/>
    </row>
    <row r="1008" spans="1:19" ht="26.25">
      <c r="A1008" s="196" t="s">
        <v>3711</v>
      </c>
      <c r="B1008" s="197" t="s">
        <v>53</v>
      </c>
      <c r="C1008" s="197" t="s">
        <v>3496</v>
      </c>
      <c r="D1008" s="124" t="s">
        <v>39</v>
      </c>
      <c r="E1008" s="198">
        <v>45868</v>
      </c>
      <c r="F1008" s="198">
        <v>45898</v>
      </c>
      <c r="G1008" s="197" t="s">
        <v>71</v>
      </c>
      <c r="H1008" s="199" t="s">
        <v>3712</v>
      </c>
      <c r="I1008" s="199" t="s">
        <v>3225</v>
      </c>
      <c r="J1008" s="197" t="s">
        <v>56</v>
      </c>
      <c r="K1008" s="200" t="s">
        <v>3713</v>
      </c>
      <c r="L1008" s="229" t="s">
        <v>3714</v>
      </c>
      <c r="M1008" s="201" t="s">
        <v>2824</v>
      </c>
      <c r="N1008" s="124">
        <v>3</v>
      </c>
      <c r="O1008" s="124"/>
      <c r="P1008" s="229" t="s">
        <v>3715</v>
      </c>
      <c r="Q1008" s="84"/>
      <c r="R1008" s="190"/>
      <c r="S1008" s="196"/>
    </row>
    <row r="1009" spans="1:19" ht="120">
      <c r="A1009" s="196" t="s">
        <v>3716</v>
      </c>
      <c r="B1009" s="197" t="s">
        <v>53</v>
      </c>
      <c r="C1009" s="197" t="s">
        <v>3496</v>
      </c>
      <c r="D1009" s="124" t="s">
        <v>39</v>
      </c>
      <c r="E1009" s="198">
        <v>45869</v>
      </c>
      <c r="F1009" s="198">
        <v>45899</v>
      </c>
      <c r="G1009" s="197" t="s">
        <v>279</v>
      </c>
      <c r="H1009" s="199" t="s">
        <v>3717</v>
      </c>
      <c r="I1009" s="199" t="s">
        <v>3558</v>
      </c>
      <c r="J1009" s="197" t="s">
        <v>102</v>
      </c>
      <c r="K1009" s="200" t="s">
        <v>3718</v>
      </c>
      <c r="L1009" s="54" t="s">
        <v>3719</v>
      </c>
      <c r="M1009" s="201" t="s">
        <v>2741</v>
      </c>
      <c r="N1009" s="124">
        <v>3</v>
      </c>
      <c r="O1009" s="124"/>
      <c r="P1009" s="202" t="s">
        <v>3720</v>
      </c>
      <c r="Q1009" s="84"/>
      <c r="R1009" s="190"/>
      <c r="S1009" s="196"/>
    </row>
    <row r="1010" spans="1:19" ht="60">
      <c r="A1010" s="196" t="s">
        <v>3721</v>
      </c>
      <c r="B1010" s="197" t="s">
        <v>2827</v>
      </c>
      <c r="C1010" s="197" t="s">
        <v>3722</v>
      </c>
      <c r="D1010" s="124" t="s">
        <v>39</v>
      </c>
      <c r="E1010" s="198">
        <v>45869</v>
      </c>
      <c r="F1010" s="198">
        <v>45900</v>
      </c>
      <c r="G1010" s="197" t="s">
        <v>71</v>
      </c>
      <c r="H1010" s="199" t="s">
        <v>3723</v>
      </c>
      <c r="I1010" s="199" t="s">
        <v>3724</v>
      </c>
      <c r="J1010" s="197" t="s">
        <v>56</v>
      </c>
      <c r="K1010" s="200" t="s">
        <v>42</v>
      </c>
      <c r="L1010" s="54" t="s">
        <v>3725</v>
      </c>
      <c r="M1010" s="201" t="s">
        <v>3726</v>
      </c>
      <c r="N1010" s="124">
        <v>3</v>
      </c>
      <c r="O1010" s="124"/>
      <c r="P1010" s="202" t="s">
        <v>3727</v>
      </c>
      <c r="Q1010" s="84"/>
      <c r="R1010" s="190"/>
      <c r="S1010" s="196"/>
    </row>
    <row r="1011" spans="1:19" ht="45">
      <c r="A1011" s="196" t="s">
        <v>3728</v>
      </c>
      <c r="B1011" s="197" t="s">
        <v>2827</v>
      </c>
      <c r="C1011" s="197" t="s">
        <v>3496</v>
      </c>
      <c r="D1011" s="124" t="s">
        <v>117</v>
      </c>
      <c r="E1011" s="198">
        <v>45870</v>
      </c>
      <c r="F1011" s="198">
        <v>45900</v>
      </c>
      <c r="G1011" s="197" t="s">
        <v>71</v>
      </c>
      <c r="H1011" s="199" t="s">
        <v>3729</v>
      </c>
      <c r="I1011" s="199" t="s">
        <v>3730</v>
      </c>
      <c r="J1011" s="197" t="s">
        <v>102</v>
      </c>
      <c r="K1011" s="200" t="s">
        <v>42</v>
      </c>
      <c r="L1011" s="54" t="s">
        <v>3731</v>
      </c>
      <c r="M1011" s="201" t="s">
        <v>2741</v>
      </c>
      <c r="N1011" s="124">
        <v>3</v>
      </c>
      <c r="O1011" s="124"/>
      <c r="P1011" s="202" t="s">
        <v>3732</v>
      </c>
      <c r="Q1011" s="84"/>
      <c r="R1011" s="190"/>
      <c r="S1011" s="196"/>
    </row>
    <row r="1012" spans="1:19" ht="30">
      <c r="A1012" s="196" t="s">
        <v>3733</v>
      </c>
      <c r="B1012" s="197" t="s">
        <v>53</v>
      </c>
      <c r="C1012" s="197" t="s">
        <v>3123</v>
      </c>
      <c r="D1012" s="124" t="s">
        <v>39</v>
      </c>
      <c r="E1012" s="198">
        <v>45874</v>
      </c>
      <c r="F1012" s="198">
        <v>45905</v>
      </c>
      <c r="G1012" s="197" t="s">
        <v>71</v>
      </c>
      <c r="H1012" s="199" t="s">
        <v>3734</v>
      </c>
      <c r="I1012" s="199" t="s">
        <v>3735</v>
      </c>
      <c r="J1012" s="197" t="s">
        <v>56</v>
      </c>
      <c r="K1012" s="200" t="s">
        <v>3736</v>
      </c>
      <c r="L1012" s="54" t="s">
        <v>3737</v>
      </c>
      <c r="M1012" s="201" t="s">
        <v>2824</v>
      </c>
      <c r="N1012" s="124">
        <v>3</v>
      </c>
      <c r="O1012" s="124"/>
      <c r="P1012" s="202" t="s">
        <v>3738</v>
      </c>
      <c r="Q1012" s="84"/>
      <c r="R1012" s="190"/>
      <c r="S1012" s="196"/>
    </row>
    <row r="1013" spans="1:19" ht="195">
      <c r="A1013" s="196" t="s">
        <v>3739</v>
      </c>
      <c r="B1013" s="197" t="s">
        <v>53</v>
      </c>
      <c r="C1013" s="197" t="s">
        <v>3123</v>
      </c>
      <c r="D1013" s="124" t="s">
        <v>39</v>
      </c>
      <c r="E1013" s="198">
        <v>45875</v>
      </c>
      <c r="F1013" s="198">
        <v>45906</v>
      </c>
      <c r="G1013" s="197" t="s">
        <v>71</v>
      </c>
      <c r="H1013" s="199" t="s">
        <v>3740</v>
      </c>
      <c r="I1013" s="199" t="s">
        <v>3178</v>
      </c>
      <c r="J1013" s="197" t="s">
        <v>56</v>
      </c>
      <c r="K1013" s="200" t="s">
        <v>3741</v>
      </c>
      <c r="L1013" s="213" t="s">
        <v>3742</v>
      </c>
      <c r="M1013" s="201" t="s">
        <v>2741</v>
      </c>
      <c r="N1013" s="124">
        <v>3</v>
      </c>
      <c r="O1013" s="124"/>
      <c r="P1013" s="202" t="s">
        <v>3743</v>
      </c>
      <c r="Q1013" s="84"/>
      <c r="R1013" s="190"/>
      <c r="S1013" s="196"/>
    </row>
    <row r="1014" spans="1:19" ht="165">
      <c r="A1014" s="196" t="s">
        <v>3744</v>
      </c>
      <c r="B1014" s="197" t="s">
        <v>53</v>
      </c>
      <c r="C1014" s="197" t="s">
        <v>3123</v>
      </c>
      <c r="D1014" s="124" t="s">
        <v>39</v>
      </c>
      <c r="E1014" s="198">
        <v>45875</v>
      </c>
      <c r="F1014" s="198">
        <v>45906</v>
      </c>
      <c r="G1014" s="197" t="s">
        <v>71</v>
      </c>
      <c r="H1014" s="199" t="s">
        <v>3745</v>
      </c>
      <c r="I1014" s="199" t="s">
        <v>3039</v>
      </c>
      <c r="J1014" s="197" t="s">
        <v>56</v>
      </c>
      <c r="K1014" s="200" t="s">
        <v>3746</v>
      </c>
      <c r="L1014" s="67" t="s">
        <v>3747</v>
      </c>
      <c r="M1014" s="201" t="s">
        <v>2741</v>
      </c>
      <c r="N1014" s="124">
        <v>3</v>
      </c>
      <c r="O1014" s="124"/>
      <c r="P1014" s="202" t="s">
        <v>3748</v>
      </c>
      <c r="Q1014" s="84"/>
      <c r="R1014" s="190"/>
      <c r="S1014" s="196"/>
    </row>
    <row r="1015" spans="1:19" ht="37.15" hidden="1" customHeight="1">
      <c r="A1015" s="196" t="s">
        <v>3749</v>
      </c>
      <c r="B1015" s="197" t="s">
        <v>38</v>
      </c>
      <c r="C1015" s="197" t="s">
        <v>3123</v>
      </c>
      <c r="D1015" s="124" t="s">
        <v>39</v>
      </c>
      <c r="E1015" s="198">
        <v>45877</v>
      </c>
      <c r="F1015" s="198">
        <v>45908</v>
      </c>
      <c r="G1015" s="197" t="s">
        <v>71</v>
      </c>
      <c r="H1015" s="199" t="s">
        <v>3750</v>
      </c>
      <c r="I1015" s="199" t="s">
        <v>3384</v>
      </c>
      <c r="J1015" s="197" t="s">
        <v>56</v>
      </c>
      <c r="K1015" s="200" t="s">
        <v>3751</v>
      </c>
      <c r="L1015" s="54" t="s">
        <v>3752</v>
      </c>
      <c r="M1015" s="201" t="s">
        <v>2735</v>
      </c>
      <c r="N1015" s="124">
        <v>3</v>
      </c>
      <c r="O1015" s="124" t="s">
        <v>3753</v>
      </c>
      <c r="P1015" s="202" t="s">
        <v>3754</v>
      </c>
      <c r="Q1015" s="84"/>
      <c r="R1015" s="190"/>
      <c r="S1015" s="196"/>
    </row>
    <row r="1016" spans="1:19" ht="37.15" customHeight="1">
      <c r="A1016" s="196" t="s">
        <v>3755</v>
      </c>
      <c r="B1016" s="197" t="s">
        <v>53</v>
      </c>
      <c r="C1016" s="197" t="s">
        <v>3123</v>
      </c>
      <c r="D1016" s="124" t="s">
        <v>39</v>
      </c>
      <c r="E1016" s="198">
        <v>45881</v>
      </c>
      <c r="F1016" s="198">
        <v>45912</v>
      </c>
      <c r="G1016" s="197" t="s">
        <v>71</v>
      </c>
      <c r="H1016" s="199" t="s">
        <v>3536</v>
      </c>
      <c r="I1016" s="199" t="s">
        <v>3074</v>
      </c>
      <c r="J1016" s="197" t="s">
        <v>56</v>
      </c>
      <c r="K1016" s="200" t="s">
        <v>3756</v>
      </c>
      <c r="L1016" s="54" t="s">
        <v>3757</v>
      </c>
      <c r="M1016" s="201" t="s">
        <v>2824</v>
      </c>
      <c r="N1016" s="124">
        <v>3</v>
      </c>
      <c r="O1016" s="124"/>
      <c r="P1016" s="54" t="s">
        <v>3758</v>
      </c>
      <c r="Q1016" s="84"/>
      <c r="R1016" s="209"/>
      <c r="S1016" s="196"/>
    </row>
    <row r="1017" spans="1:19" ht="37.15" customHeight="1">
      <c r="A1017" s="196" t="s">
        <v>3759</v>
      </c>
      <c r="B1017" s="197" t="s">
        <v>53</v>
      </c>
      <c r="C1017" s="197" t="s">
        <v>3123</v>
      </c>
      <c r="D1017" s="124" t="s">
        <v>39</v>
      </c>
      <c r="E1017" s="198">
        <v>45848</v>
      </c>
      <c r="F1017" s="198">
        <v>45930</v>
      </c>
      <c r="G1017" s="197" t="s">
        <v>71</v>
      </c>
      <c r="H1017" s="199" t="s">
        <v>3649</v>
      </c>
      <c r="I1017" s="199" t="s">
        <v>3059</v>
      </c>
      <c r="J1017" s="197" t="s">
        <v>56</v>
      </c>
      <c r="K1017" s="200" t="s">
        <v>3760</v>
      </c>
      <c r="L1017" s="54" t="s">
        <v>3761</v>
      </c>
      <c r="M1017" s="201" t="s">
        <v>2741</v>
      </c>
      <c r="N1017" s="124">
        <v>3</v>
      </c>
      <c r="O1017" s="124"/>
      <c r="P1017" s="202" t="s">
        <v>3652</v>
      </c>
      <c r="Q1017" s="84"/>
      <c r="R1017" s="209"/>
      <c r="S1017" s="196"/>
    </row>
    <row r="1018" spans="1:19" ht="37.15" customHeight="1">
      <c r="A1018" s="196" t="s">
        <v>3762</v>
      </c>
      <c r="B1018" s="197" t="s">
        <v>53</v>
      </c>
      <c r="C1018" s="197" t="s">
        <v>3123</v>
      </c>
      <c r="D1018" s="124" t="s">
        <v>39</v>
      </c>
      <c r="E1018" s="198">
        <v>45889</v>
      </c>
      <c r="F1018" s="198">
        <v>45920</v>
      </c>
      <c r="G1018" s="197" t="s">
        <v>71</v>
      </c>
      <c r="H1018" s="199" t="s">
        <v>3615</v>
      </c>
      <c r="I1018" s="199" t="s">
        <v>3763</v>
      </c>
      <c r="J1018" s="197" t="s">
        <v>81</v>
      </c>
      <c r="K1018" s="200" t="s">
        <v>3764</v>
      </c>
      <c r="L1018" s="232" t="s">
        <v>3765</v>
      </c>
      <c r="M1018" s="201" t="s">
        <v>2824</v>
      </c>
      <c r="N1018" s="124">
        <v>2</v>
      </c>
      <c r="O1018" s="124"/>
      <c r="P1018" s="232" t="s">
        <v>3766</v>
      </c>
      <c r="Q1018" s="84"/>
      <c r="R1018" s="209"/>
      <c r="S1018" s="196"/>
    </row>
    <row r="1019" spans="1:19" ht="37.15" customHeight="1">
      <c r="A1019" s="196" t="s">
        <v>3767</v>
      </c>
      <c r="B1019" s="197" t="s">
        <v>53</v>
      </c>
      <c r="C1019" s="197" t="s">
        <v>3123</v>
      </c>
      <c r="D1019" s="124" t="s">
        <v>39</v>
      </c>
      <c r="E1019" s="198">
        <v>45889</v>
      </c>
      <c r="F1019" s="198">
        <v>45920</v>
      </c>
      <c r="G1019" s="197" t="s">
        <v>71</v>
      </c>
      <c r="H1019" s="199" t="s">
        <v>2783</v>
      </c>
      <c r="I1019" s="199" t="s">
        <v>3059</v>
      </c>
      <c r="J1019" s="197" t="s">
        <v>56</v>
      </c>
      <c r="K1019" s="200" t="s">
        <v>3768</v>
      </c>
      <c r="L1019" s="54" t="s">
        <v>3769</v>
      </c>
      <c r="M1019" s="201" t="s">
        <v>2741</v>
      </c>
      <c r="N1019" s="124">
        <v>3</v>
      </c>
      <c r="O1019" s="124"/>
      <c r="P1019" s="202" t="s">
        <v>3770</v>
      </c>
      <c r="Q1019" s="84"/>
      <c r="R1019" s="209"/>
      <c r="S1019" s="196"/>
    </row>
    <row r="1020" spans="1:19" ht="90" hidden="1">
      <c r="A1020" s="196" t="s">
        <v>3771</v>
      </c>
      <c r="B1020" s="197" t="s">
        <v>38</v>
      </c>
      <c r="C1020" s="197" t="s">
        <v>3123</v>
      </c>
      <c r="D1020" s="124" t="s">
        <v>39</v>
      </c>
      <c r="E1020" s="198">
        <v>45890</v>
      </c>
      <c r="F1020" s="198">
        <v>45921</v>
      </c>
      <c r="G1020" s="197" t="s">
        <v>71</v>
      </c>
      <c r="H1020" s="199" t="s">
        <v>3772</v>
      </c>
      <c r="I1020" s="199" t="s">
        <v>3384</v>
      </c>
      <c r="J1020" s="197" t="s">
        <v>3773</v>
      </c>
      <c r="K1020" s="200" t="s">
        <v>3774</v>
      </c>
      <c r="L1020" s="54" t="s">
        <v>3775</v>
      </c>
      <c r="M1020" s="201" t="s">
        <v>2735</v>
      </c>
      <c r="N1020" s="124">
        <v>3</v>
      </c>
      <c r="O1020" s="124" t="s">
        <v>3753</v>
      </c>
      <c r="P1020" s="202" t="s">
        <v>3776</v>
      </c>
      <c r="Q1020" s="84"/>
      <c r="R1020" s="209"/>
      <c r="S1020" s="196"/>
    </row>
    <row r="1021" spans="1:19" ht="37.15" customHeight="1">
      <c r="A1021" s="196" t="s">
        <v>3777</v>
      </c>
      <c r="B1021" s="197" t="s">
        <v>53</v>
      </c>
      <c r="C1021" s="197" t="s">
        <v>3123</v>
      </c>
      <c r="D1021" s="124" t="s">
        <v>39</v>
      </c>
      <c r="E1021" s="198">
        <v>45890</v>
      </c>
      <c r="F1021" s="198">
        <v>45921</v>
      </c>
      <c r="G1021" s="197" t="s">
        <v>71</v>
      </c>
      <c r="H1021" s="199" t="s">
        <v>3778</v>
      </c>
      <c r="I1021" s="199" t="s">
        <v>2313</v>
      </c>
      <c r="J1021" s="197" t="s">
        <v>3133</v>
      </c>
      <c r="K1021" s="200" t="s">
        <v>3779</v>
      </c>
      <c r="L1021" s="54" t="s">
        <v>3780</v>
      </c>
      <c r="M1021" s="201" t="s">
        <v>2741</v>
      </c>
      <c r="N1021" s="124">
        <v>3</v>
      </c>
      <c r="O1021" s="124"/>
      <c r="P1021" s="202" t="s">
        <v>3781</v>
      </c>
      <c r="Q1021" s="84"/>
      <c r="R1021" s="190"/>
      <c r="S1021" s="196"/>
    </row>
    <row r="1022" spans="1:19" ht="37.15" customHeight="1">
      <c r="A1022" s="196" t="s">
        <v>3782</v>
      </c>
      <c r="B1022" s="197" t="s">
        <v>53</v>
      </c>
      <c r="C1022" s="197" t="s">
        <v>3123</v>
      </c>
      <c r="D1022" s="124" t="s">
        <v>39</v>
      </c>
      <c r="E1022" s="198">
        <v>45894</v>
      </c>
      <c r="F1022" s="198">
        <v>45925</v>
      </c>
      <c r="G1022" s="197" t="s">
        <v>71</v>
      </c>
      <c r="H1022" s="199" t="s">
        <v>3783</v>
      </c>
      <c r="I1022" s="199" t="s">
        <v>2924</v>
      </c>
      <c r="J1022" s="197" t="s">
        <v>56</v>
      </c>
      <c r="K1022" s="200" t="s">
        <v>3784</v>
      </c>
      <c r="L1022" s="54" t="s">
        <v>3785</v>
      </c>
      <c r="M1022" s="201" t="s">
        <v>2741</v>
      </c>
      <c r="N1022" s="124">
        <v>3</v>
      </c>
      <c r="O1022" s="124"/>
      <c r="P1022" s="202" t="s">
        <v>3786</v>
      </c>
      <c r="Q1022" s="84"/>
      <c r="R1022" s="190"/>
      <c r="S1022" s="196"/>
    </row>
    <row r="1023" spans="1:19" ht="60" hidden="1">
      <c r="A1023" s="196" t="s">
        <v>3787</v>
      </c>
      <c r="B1023" s="197" t="s">
        <v>38</v>
      </c>
      <c r="C1023" s="197" t="s">
        <v>491</v>
      </c>
      <c r="D1023" s="124" t="s">
        <v>39</v>
      </c>
      <c r="E1023" s="198">
        <v>45896</v>
      </c>
      <c r="F1023" s="198">
        <v>45927</v>
      </c>
      <c r="G1023" s="197" t="s">
        <v>71</v>
      </c>
      <c r="H1023" s="199" t="s">
        <v>3788</v>
      </c>
      <c r="I1023" s="199" t="s">
        <v>3789</v>
      </c>
      <c r="J1023" s="197" t="s">
        <v>56</v>
      </c>
      <c r="K1023" s="200" t="s">
        <v>3790</v>
      </c>
      <c r="L1023" s="54" t="s">
        <v>3791</v>
      </c>
      <c r="M1023" s="201" t="s">
        <v>3792</v>
      </c>
      <c r="N1023" s="124">
        <v>3</v>
      </c>
      <c r="O1023" s="124"/>
      <c r="P1023" s="202" t="s">
        <v>3793</v>
      </c>
      <c r="Q1023" s="84"/>
      <c r="R1023" s="209"/>
      <c r="S1023" s="196"/>
    </row>
    <row r="1024" spans="1:19" ht="37.15" customHeight="1">
      <c r="A1024" s="196" t="s">
        <v>3794</v>
      </c>
      <c r="B1024" s="197" t="s">
        <v>53</v>
      </c>
      <c r="C1024" s="197" t="s">
        <v>3123</v>
      </c>
      <c r="D1024" s="124" t="s">
        <v>39</v>
      </c>
      <c r="E1024" s="198">
        <v>45904</v>
      </c>
      <c r="F1024" s="198">
        <v>45934</v>
      </c>
      <c r="G1024" s="197" t="s">
        <v>71</v>
      </c>
      <c r="H1024" s="199" t="s">
        <v>3795</v>
      </c>
      <c r="I1024" s="199" t="s">
        <v>3796</v>
      </c>
      <c r="J1024" s="197" t="s">
        <v>56</v>
      </c>
      <c r="K1024" s="200">
        <v>518157</v>
      </c>
      <c r="L1024" s="54" t="s">
        <v>3797</v>
      </c>
      <c r="M1024" s="201" t="s">
        <v>3726</v>
      </c>
      <c r="N1024" s="124">
        <v>3</v>
      </c>
      <c r="O1024" s="124"/>
      <c r="P1024" s="202" t="s">
        <v>3798</v>
      </c>
      <c r="Q1024" s="84"/>
      <c r="R1024" s="209"/>
      <c r="S1024" s="196"/>
    </row>
    <row r="1025" spans="1:19" ht="75" hidden="1">
      <c r="A1025" s="196" t="s">
        <v>3799</v>
      </c>
      <c r="B1025" s="197" t="s">
        <v>38</v>
      </c>
      <c r="C1025" s="197" t="s">
        <v>886</v>
      </c>
      <c r="D1025" s="124" t="s">
        <v>39</v>
      </c>
      <c r="E1025" s="198">
        <v>45911</v>
      </c>
      <c r="F1025" s="198">
        <v>45911</v>
      </c>
      <c r="G1025" s="197" t="s">
        <v>71</v>
      </c>
      <c r="H1025" s="189" t="s">
        <v>3800</v>
      </c>
      <c r="I1025" s="199" t="s">
        <v>2768</v>
      </c>
      <c r="J1025" s="197" t="s">
        <v>56</v>
      </c>
      <c r="K1025" s="200" t="s">
        <v>42</v>
      </c>
      <c r="L1025" s="54" t="s">
        <v>3801</v>
      </c>
      <c r="M1025" s="201" t="s">
        <v>2735</v>
      </c>
      <c r="N1025" s="124">
        <v>3</v>
      </c>
      <c r="O1025" s="105">
        <v>45919</v>
      </c>
      <c r="P1025" s="183" t="s">
        <v>3802</v>
      </c>
      <c r="Q1025" s="234"/>
      <c r="R1025" s="209"/>
      <c r="S1025" s="196"/>
    </row>
    <row r="1026" spans="1:19" ht="90">
      <c r="A1026" s="196" t="s">
        <v>3803</v>
      </c>
      <c r="B1026" s="197" t="s">
        <v>53</v>
      </c>
      <c r="C1026" s="197" t="s">
        <v>3123</v>
      </c>
      <c r="D1026" s="124" t="s">
        <v>3804</v>
      </c>
      <c r="E1026" s="198">
        <v>45904</v>
      </c>
      <c r="F1026" s="198">
        <v>45934</v>
      </c>
      <c r="G1026" s="197" t="s">
        <v>71</v>
      </c>
      <c r="H1026" s="204" t="s">
        <v>3805</v>
      </c>
      <c r="I1026" s="199" t="s">
        <v>3806</v>
      </c>
      <c r="J1026" s="197" t="s">
        <v>56</v>
      </c>
      <c r="K1026" s="154" t="s">
        <v>3807</v>
      </c>
      <c r="L1026" s="168" t="s">
        <v>3808</v>
      </c>
      <c r="M1026" s="233" t="s">
        <v>2824</v>
      </c>
      <c r="N1026" s="124">
        <v>3</v>
      </c>
      <c r="O1026" s="124"/>
      <c r="P1026" s="188" t="s">
        <v>3809</v>
      </c>
      <c r="Q1026" s="84"/>
      <c r="R1026" s="190"/>
      <c r="S1026" s="196"/>
    </row>
    <row r="1027" spans="1:19" ht="37.15" customHeight="1">
      <c r="A1027" s="196" t="s">
        <v>3810</v>
      </c>
      <c r="B1027" s="197" t="s">
        <v>53</v>
      </c>
      <c r="C1027" s="197" t="s">
        <v>3123</v>
      </c>
      <c r="D1027" s="124" t="s">
        <v>39</v>
      </c>
      <c r="E1027" s="198">
        <v>45908</v>
      </c>
      <c r="F1027" s="198">
        <v>45938</v>
      </c>
      <c r="G1027" s="197" t="s">
        <v>71</v>
      </c>
      <c r="H1027" s="199" t="s">
        <v>1098</v>
      </c>
      <c r="I1027" s="199" t="s">
        <v>3811</v>
      </c>
      <c r="J1027" s="197" t="s">
        <v>56</v>
      </c>
      <c r="K1027" s="200" t="s">
        <v>3812</v>
      </c>
      <c r="L1027" s="12" t="s">
        <v>3813</v>
      </c>
      <c r="M1027" s="201" t="s">
        <v>2824</v>
      </c>
      <c r="N1027" s="124">
        <v>3</v>
      </c>
      <c r="O1027" s="124"/>
      <c r="P1027" s="202" t="s">
        <v>3814</v>
      </c>
      <c r="Q1027" s="84"/>
      <c r="R1027" s="190"/>
      <c r="S1027" s="196"/>
    </row>
    <row r="1028" spans="1:19" ht="37.15" customHeight="1">
      <c r="A1028" s="196" t="s">
        <v>3815</v>
      </c>
      <c r="B1028" s="197" t="s">
        <v>53</v>
      </c>
      <c r="C1028" s="197" t="s">
        <v>3123</v>
      </c>
      <c r="D1028" s="124" t="s">
        <v>39</v>
      </c>
      <c r="E1028" s="198">
        <v>45911</v>
      </c>
      <c r="F1028" s="198">
        <v>45941</v>
      </c>
      <c r="G1028" s="197" t="s">
        <v>71</v>
      </c>
      <c r="H1028" s="199" t="s">
        <v>3778</v>
      </c>
      <c r="I1028" s="199" t="s">
        <v>1933</v>
      </c>
      <c r="J1028" s="197" t="s">
        <v>56</v>
      </c>
      <c r="K1028" s="200" t="s">
        <v>3816</v>
      </c>
      <c r="L1028" s="54" t="s">
        <v>3817</v>
      </c>
      <c r="M1028" s="201" t="s">
        <v>2741</v>
      </c>
      <c r="N1028" s="124">
        <v>3</v>
      </c>
      <c r="O1028" s="124"/>
      <c r="P1028" s="202" t="s">
        <v>3818</v>
      </c>
      <c r="Q1028" s="84"/>
      <c r="R1028" s="190"/>
      <c r="S1028" s="196"/>
    </row>
    <row r="1029" spans="1:19" ht="70.5" customHeight="1">
      <c r="A1029" s="196" t="s">
        <v>3819</v>
      </c>
      <c r="B1029" s="197" t="s">
        <v>53</v>
      </c>
      <c r="C1029" s="197" t="s">
        <v>3123</v>
      </c>
      <c r="D1029" s="124" t="s">
        <v>39</v>
      </c>
      <c r="E1029" s="198">
        <v>45917</v>
      </c>
      <c r="F1029" s="198">
        <v>45947</v>
      </c>
      <c r="G1029" s="197" t="s">
        <v>71</v>
      </c>
      <c r="H1029" s="199" t="s">
        <v>3820</v>
      </c>
      <c r="I1029" s="199" t="s">
        <v>3821</v>
      </c>
      <c r="J1029" s="197" t="s">
        <v>102</v>
      </c>
      <c r="K1029" s="200"/>
      <c r="L1029" s="54" t="s">
        <v>3822</v>
      </c>
      <c r="M1029" s="201" t="s">
        <v>3675</v>
      </c>
      <c r="N1029" s="124">
        <v>3</v>
      </c>
      <c r="O1029" s="124"/>
      <c r="P1029" s="202" t="s">
        <v>3823</v>
      </c>
      <c r="Q1029" s="84"/>
      <c r="R1029" s="190"/>
      <c r="S1029" s="196"/>
    </row>
    <row r="1030" spans="1:19" ht="60">
      <c r="A1030" s="196" t="s">
        <v>3824</v>
      </c>
      <c r="B1030" s="197" t="s">
        <v>38</v>
      </c>
      <c r="C1030" s="197" t="s">
        <v>3123</v>
      </c>
      <c r="D1030" s="124" t="s">
        <v>39</v>
      </c>
      <c r="E1030" s="198">
        <v>45917</v>
      </c>
      <c r="F1030" s="198">
        <v>45947</v>
      </c>
      <c r="G1030" s="197" t="s">
        <v>71</v>
      </c>
      <c r="H1030" s="199" t="s">
        <v>3825</v>
      </c>
      <c r="I1030" s="199" t="s">
        <v>3384</v>
      </c>
      <c r="J1030" s="197" t="s">
        <v>3826</v>
      </c>
      <c r="K1030" s="200" t="s">
        <v>3827</v>
      </c>
      <c r="L1030" s="54" t="s">
        <v>3828</v>
      </c>
      <c r="M1030" s="201" t="s">
        <v>2735</v>
      </c>
      <c r="N1030" s="124">
        <v>3</v>
      </c>
      <c r="O1030" s="124"/>
      <c r="P1030" s="202" t="s">
        <v>3829</v>
      </c>
      <c r="Q1030" s="84"/>
      <c r="R1030" s="190"/>
      <c r="S1030" s="196"/>
    </row>
    <row r="1031" spans="1:19" ht="37.15" customHeight="1">
      <c r="A1031" s="196" t="s">
        <v>3830</v>
      </c>
      <c r="B1031" s="197" t="s">
        <v>53</v>
      </c>
      <c r="C1031" s="197" t="s">
        <v>3123</v>
      </c>
      <c r="D1031" s="124" t="s">
        <v>39</v>
      </c>
      <c r="E1031" s="198">
        <v>45922</v>
      </c>
      <c r="F1031" s="198">
        <v>45952</v>
      </c>
      <c r="G1031" s="197" t="s">
        <v>71</v>
      </c>
      <c r="H1031" s="199" t="s">
        <v>3831</v>
      </c>
      <c r="I1031" s="199" t="s">
        <v>3039</v>
      </c>
      <c r="J1031" s="197" t="s">
        <v>56</v>
      </c>
      <c r="K1031" s="200" t="s">
        <v>3832</v>
      </c>
      <c r="L1031" s="54" t="s">
        <v>3833</v>
      </c>
      <c r="M1031" s="201" t="s">
        <v>2824</v>
      </c>
      <c r="N1031" s="124">
        <v>3</v>
      </c>
      <c r="O1031" s="124"/>
      <c r="P1031" s="232" t="s">
        <v>3834</v>
      </c>
      <c r="Q1031" s="84"/>
      <c r="R1031" s="190"/>
      <c r="S1031" s="196"/>
    </row>
    <row r="1032" spans="1:19" ht="37.15" customHeight="1">
      <c r="A1032" s="196" t="s">
        <v>3835</v>
      </c>
      <c r="B1032" s="197" t="s">
        <v>53</v>
      </c>
      <c r="C1032" s="197" t="s">
        <v>3123</v>
      </c>
      <c r="D1032" s="124" t="s">
        <v>39</v>
      </c>
      <c r="E1032" s="198">
        <v>45923</v>
      </c>
      <c r="F1032" s="198">
        <v>45953</v>
      </c>
      <c r="G1032" s="197" t="s">
        <v>71</v>
      </c>
      <c r="H1032" s="199" t="s">
        <v>1098</v>
      </c>
      <c r="I1032" s="199" t="s">
        <v>3225</v>
      </c>
      <c r="J1032" s="197" t="s">
        <v>56</v>
      </c>
      <c r="K1032" s="200" t="s">
        <v>3836</v>
      </c>
      <c r="L1032" s="54" t="s">
        <v>3837</v>
      </c>
      <c r="M1032" s="201" t="s">
        <v>2824</v>
      </c>
      <c r="N1032" s="124">
        <v>3</v>
      </c>
      <c r="O1032" s="124"/>
      <c r="P1032" s="229" t="s">
        <v>3838</v>
      </c>
      <c r="Q1032" s="84"/>
      <c r="R1032" s="190"/>
      <c r="S1032" s="196"/>
    </row>
    <row r="1033" spans="1:19" ht="37.15" customHeight="1">
      <c r="A1033" s="196" t="s">
        <v>3839</v>
      </c>
      <c r="B1033" s="197" t="s">
        <v>53</v>
      </c>
      <c r="C1033" s="197" t="s">
        <v>3123</v>
      </c>
      <c r="D1033" s="124" t="s">
        <v>39</v>
      </c>
      <c r="E1033" s="198">
        <v>45924</v>
      </c>
      <c r="F1033" s="198">
        <v>45954</v>
      </c>
      <c r="G1033" s="197" t="s">
        <v>71</v>
      </c>
      <c r="H1033" s="199" t="s">
        <v>3783</v>
      </c>
      <c r="I1033" s="199" t="s">
        <v>3697</v>
      </c>
      <c r="J1033" s="197" t="s">
        <v>3840</v>
      </c>
      <c r="K1033" s="200" t="s">
        <v>3841</v>
      </c>
      <c r="L1033" s="54" t="s">
        <v>3842</v>
      </c>
      <c r="M1033" s="201" t="s">
        <v>2741</v>
      </c>
      <c r="N1033" s="124">
        <v>3</v>
      </c>
      <c r="O1033" s="124"/>
      <c r="P1033" s="202" t="s">
        <v>3843</v>
      </c>
      <c r="Q1033" s="84"/>
      <c r="R1033" s="190"/>
      <c r="S1033" s="196"/>
    </row>
    <row r="1034" spans="1:19" ht="37.15" customHeight="1">
      <c r="A1034" s="196" t="s">
        <v>3844</v>
      </c>
      <c r="B1034" s="178" t="s">
        <v>53</v>
      </c>
      <c r="C1034" s="178" t="s">
        <v>3123</v>
      </c>
      <c r="D1034" s="179" t="s">
        <v>39</v>
      </c>
      <c r="E1034" s="180">
        <v>45924</v>
      </c>
      <c r="F1034" s="180">
        <v>45985</v>
      </c>
      <c r="G1034" s="178" t="s">
        <v>71</v>
      </c>
      <c r="H1034" s="189" t="s">
        <v>3845</v>
      </c>
      <c r="I1034" s="189" t="s">
        <v>3846</v>
      </c>
      <c r="J1034" s="178" t="s">
        <v>81</v>
      </c>
      <c r="K1034" s="178" t="s">
        <v>3847</v>
      </c>
      <c r="L1034" s="183" t="s">
        <v>3848</v>
      </c>
      <c r="M1034" s="57" t="s">
        <v>2824</v>
      </c>
      <c r="N1034" s="178">
        <v>3</v>
      </c>
      <c r="O1034" s="178"/>
      <c r="P1034" s="183" t="s">
        <v>3849</v>
      </c>
      <c r="Q1034" s="84"/>
      <c r="R1034" s="190"/>
      <c r="S1034" s="196"/>
    </row>
    <row r="1035" spans="1:19" ht="63" customHeight="1">
      <c r="A1035" s="196" t="s">
        <v>3850</v>
      </c>
      <c r="B1035" s="178" t="s">
        <v>53</v>
      </c>
      <c r="C1035" s="178" t="s">
        <v>3123</v>
      </c>
      <c r="D1035" s="179" t="s">
        <v>39</v>
      </c>
      <c r="E1035" s="180">
        <v>45925</v>
      </c>
      <c r="F1035" s="180">
        <v>45954</v>
      </c>
      <c r="G1035" s="178" t="s">
        <v>71</v>
      </c>
      <c r="H1035" s="199" t="s">
        <v>3851</v>
      </c>
      <c r="I1035" s="199" t="s">
        <v>3240</v>
      </c>
      <c r="J1035" s="197" t="s">
        <v>56</v>
      </c>
      <c r="K1035" s="214" t="s">
        <v>3852</v>
      </c>
      <c r="L1035" s="54" t="s">
        <v>3853</v>
      </c>
      <c r="M1035" s="201" t="s">
        <v>2741</v>
      </c>
      <c r="N1035" s="124">
        <v>3</v>
      </c>
      <c r="O1035" s="124"/>
      <c r="P1035" s="202" t="s">
        <v>3854</v>
      </c>
      <c r="Q1035" s="84"/>
      <c r="R1035" s="190"/>
      <c r="S1035" s="196"/>
    </row>
    <row r="1036" spans="1:19" ht="50.25" customHeight="1">
      <c r="A1036" s="196" t="s">
        <v>3855</v>
      </c>
      <c r="B1036" s="178" t="s">
        <v>53</v>
      </c>
      <c r="C1036" s="178" t="s">
        <v>3123</v>
      </c>
      <c r="D1036" s="179" t="s">
        <v>39</v>
      </c>
      <c r="E1036" s="198">
        <v>45933</v>
      </c>
      <c r="F1036" s="198">
        <v>45964</v>
      </c>
      <c r="G1036" s="178" t="s">
        <v>71</v>
      </c>
      <c r="H1036" s="199" t="s">
        <v>681</v>
      </c>
      <c r="I1036" s="199" t="s">
        <v>3856</v>
      </c>
      <c r="J1036" s="197" t="s">
        <v>253</v>
      </c>
      <c r="K1036" s="200" t="s">
        <v>3857</v>
      </c>
      <c r="L1036" s="54" t="s">
        <v>3858</v>
      </c>
      <c r="M1036" s="201" t="s">
        <v>2741</v>
      </c>
      <c r="N1036" s="124">
        <v>3</v>
      </c>
      <c r="O1036" s="124"/>
      <c r="P1036" s="202" t="s">
        <v>3859</v>
      </c>
      <c r="Q1036" s="84"/>
      <c r="R1036" s="190"/>
      <c r="S1036" s="196"/>
    </row>
    <row r="1037" spans="1:19" ht="107.45" customHeight="1">
      <c r="A1037" s="196" t="s">
        <v>3860</v>
      </c>
      <c r="B1037" s="178" t="s">
        <v>53</v>
      </c>
      <c r="C1037" s="178" t="s">
        <v>3123</v>
      </c>
      <c r="D1037" s="179" t="s">
        <v>39</v>
      </c>
      <c r="E1037" s="198">
        <v>45933</v>
      </c>
      <c r="F1037" s="198">
        <v>45964</v>
      </c>
      <c r="G1037" s="178" t="s">
        <v>71</v>
      </c>
      <c r="H1037" s="199" t="s">
        <v>1790</v>
      </c>
      <c r="I1037" s="199" t="s">
        <v>3697</v>
      </c>
      <c r="J1037" s="197" t="s">
        <v>316</v>
      </c>
      <c r="K1037" s="200" t="s">
        <v>3861</v>
      </c>
      <c r="L1037" s="54" t="s">
        <v>3862</v>
      </c>
      <c r="M1037" s="201" t="s">
        <v>2741</v>
      </c>
      <c r="N1037" s="124">
        <v>3</v>
      </c>
      <c r="O1037" s="124"/>
      <c r="P1037" s="202" t="s">
        <v>3863</v>
      </c>
      <c r="Q1037" s="84"/>
      <c r="R1037" s="190"/>
      <c r="S1037" s="196"/>
    </row>
    <row r="1038" spans="1:19" ht="141.75" customHeight="1">
      <c r="A1038" s="196" t="s">
        <v>3864</v>
      </c>
      <c r="B1038" s="178" t="s">
        <v>53</v>
      </c>
      <c r="C1038" s="178" t="s">
        <v>3123</v>
      </c>
      <c r="D1038" s="179" t="s">
        <v>39</v>
      </c>
      <c r="E1038" s="198">
        <v>45952</v>
      </c>
      <c r="F1038" s="198">
        <v>45983</v>
      </c>
      <c r="G1038" s="197" t="s">
        <v>71</v>
      </c>
      <c r="H1038" s="199" t="s">
        <v>681</v>
      </c>
      <c r="I1038" s="199" t="s">
        <v>3865</v>
      </c>
      <c r="J1038" s="197" t="s">
        <v>56</v>
      </c>
      <c r="K1038" s="200" t="s">
        <v>3866</v>
      </c>
      <c r="L1038" s="54" t="s">
        <v>3867</v>
      </c>
      <c r="M1038" s="201" t="s">
        <v>2741</v>
      </c>
      <c r="N1038" s="124">
        <v>3</v>
      </c>
      <c r="O1038" s="124"/>
      <c r="P1038" s="124" t="s">
        <v>3868</v>
      </c>
      <c r="Q1038" s="84"/>
      <c r="R1038" s="190"/>
      <c r="S1038" s="196"/>
    </row>
    <row r="1039" spans="1:19" ht="37.15" customHeight="1">
      <c r="A1039" s="196" t="s">
        <v>3869</v>
      </c>
      <c r="B1039" s="197" t="s">
        <v>53</v>
      </c>
      <c r="C1039" s="197" t="s">
        <v>886</v>
      </c>
      <c r="D1039" s="124" t="s">
        <v>39</v>
      </c>
      <c r="E1039" s="198">
        <v>45960</v>
      </c>
      <c r="F1039" s="198">
        <v>45991</v>
      </c>
      <c r="G1039" s="197" t="s">
        <v>71</v>
      </c>
      <c r="H1039" s="199" t="s">
        <v>3870</v>
      </c>
      <c r="I1039" s="199" t="s">
        <v>3871</v>
      </c>
      <c r="J1039" s="197" t="s">
        <v>56</v>
      </c>
      <c r="K1039" s="200" t="s">
        <v>42</v>
      </c>
      <c r="L1039" s="54" t="s">
        <v>3872</v>
      </c>
      <c r="M1039" s="201" t="s">
        <v>2824</v>
      </c>
      <c r="N1039" s="124">
        <v>2</v>
      </c>
      <c r="O1039" s="124"/>
      <c r="P1039" s="202" t="s">
        <v>3873</v>
      </c>
      <c r="Q1039" s="84"/>
      <c r="R1039" s="190"/>
      <c r="S1039" s="196"/>
    </row>
    <row r="1040" spans="1:19" ht="94.5">
      <c r="A1040" s="196" t="s">
        <v>3874</v>
      </c>
      <c r="B1040" s="197" t="s">
        <v>53</v>
      </c>
      <c r="C1040" s="197" t="s">
        <v>3123</v>
      </c>
      <c r="D1040" s="124" t="s">
        <v>39</v>
      </c>
      <c r="E1040" s="198">
        <v>45964</v>
      </c>
      <c r="F1040" s="198">
        <v>45994</v>
      </c>
      <c r="G1040" s="197" t="s">
        <v>71</v>
      </c>
      <c r="H1040" s="199" t="s">
        <v>3875</v>
      </c>
      <c r="I1040" s="199" t="s">
        <v>3876</v>
      </c>
      <c r="J1040" s="197" t="s">
        <v>56</v>
      </c>
      <c r="K1040" s="200" t="s">
        <v>3877</v>
      </c>
      <c r="L1040" s="54" t="s">
        <v>3878</v>
      </c>
      <c r="M1040" s="201" t="s">
        <v>2741</v>
      </c>
      <c r="N1040" s="124">
        <v>3</v>
      </c>
      <c r="O1040" s="124"/>
      <c r="P1040" s="54" t="s">
        <v>3879</v>
      </c>
      <c r="Q1040" s="84"/>
      <c r="R1040" s="190"/>
      <c r="S1040" s="196"/>
    </row>
    <row r="1041" spans="1:19" ht="37.15" customHeight="1">
      <c r="A1041" s="196" t="s">
        <v>3880</v>
      </c>
      <c r="B1041" s="197" t="s">
        <v>53</v>
      </c>
      <c r="C1041" s="197" t="s">
        <v>3123</v>
      </c>
      <c r="D1041" s="124" t="s">
        <v>39</v>
      </c>
      <c r="E1041" s="198">
        <v>45964</v>
      </c>
      <c r="F1041" s="198">
        <v>45994</v>
      </c>
      <c r="G1041" s="197" t="s">
        <v>71</v>
      </c>
      <c r="H1041" s="199" t="s">
        <v>3881</v>
      </c>
      <c r="I1041" s="199" t="s">
        <v>3882</v>
      </c>
      <c r="J1041" s="197" t="s">
        <v>56</v>
      </c>
      <c r="K1041" s="200" t="s">
        <v>3883</v>
      </c>
      <c r="L1041" s="54" t="s">
        <v>3884</v>
      </c>
      <c r="M1041" s="201" t="s">
        <v>2741</v>
      </c>
      <c r="N1041" s="124">
        <v>3</v>
      </c>
      <c r="O1041" s="124"/>
      <c r="P1041" s="202" t="s">
        <v>3885</v>
      </c>
      <c r="Q1041" s="84"/>
      <c r="R1041" s="190"/>
      <c r="S1041" s="196"/>
    </row>
    <row r="1042" spans="1:19" ht="37.15" customHeight="1">
      <c r="A1042" s="196" t="s">
        <v>3886</v>
      </c>
      <c r="B1042" s="197" t="s">
        <v>38</v>
      </c>
      <c r="C1042" s="197" t="s">
        <v>3123</v>
      </c>
      <c r="D1042" s="124" t="s">
        <v>39</v>
      </c>
      <c r="E1042" s="198">
        <v>45965</v>
      </c>
      <c r="F1042" s="198">
        <v>45995</v>
      </c>
      <c r="G1042" s="197" t="s">
        <v>71</v>
      </c>
      <c r="H1042" s="199" t="s">
        <v>2778</v>
      </c>
      <c r="I1042" s="199" t="s">
        <v>3697</v>
      </c>
      <c r="J1042" s="197" t="s">
        <v>56</v>
      </c>
      <c r="K1042" s="200" t="s">
        <v>3887</v>
      </c>
      <c r="L1042" s="54" t="s">
        <v>3888</v>
      </c>
      <c r="M1042" s="201" t="s">
        <v>2735</v>
      </c>
      <c r="N1042" s="124">
        <v>3</v>
      </c>
      <c r="O1042" s="124"/>
      <c r="P1042" s="202" t="s">
        <v>3889</v>
      </c>
      <c r="Q1042" s="84"/>
      <c r="R1042" s="190"/>
      <c r="S1042" s="196"/>
    </row>
    <row r="1043" spans="1:19" ht="74.25" customHeight="1">
      <c r="A1043" s="196" t="s">
        <v>3890</v>
      </c>
      <c r="B1043" s="197" t="s">
        <v>53</v>
      </c>
      <c r="C1043" s="197" t="s">
        <v>3123</v>
      </c>
      <c r="D1043" s="124" t="s">
        <v>39</v>
      </c>
      <c r="E1043" s="198">
        <v>45962</v>
      </c>
      <c r="F1043" s="198">
        <v>45992</v>
      </c>
      <c r="G1043" s="197" t="s">
        <v>71</v>
      </c>
      <c r="H1043" s="199" t="s">
        <v>3891</v>
      </c>
      <c r="I1043" s="199" t="s">
        <v>1933</v>
      </c>
      <c r="J1043" s="197" t="s">
        <v>56</v>
      </c>
      <c r="K1043" s="214" t="s">
        <v>3892</v>
      </c>
      <c r="L1043" s="54" t="s">
        <v>3893</v>
      </c>
      <c r="M1043" s="201" t="s">
        <v>2741</v>
      </c>
      <c r="N1043" s="124">
        <v>3</v>
      </c>
      <c r="O1043" s="124"/>
      <c r="P1043" s="202" t="s">
        <v>3894</v>
      </c>
      <c r="Q1043" s="84"/>
      <c r="R1043" s="190"/>
      <c r="S1043" s="196"/>
    </row>
    <row r="1044" spans="1:19" ht="102.2" customHeight="1">
      <c r="A1044" s="196" t="s">
        <v>3895</v>
      </c>
      <c r="B1044" s="197" t="s">
        <v>53</v>
      </c>
      <c r="C1044" s="197" t="s">
        <v>886</v>
      </c>
      <c r="D1044" s="124" t="s">
        <v>117</v>
      </c>
      <c r="E1044" s="198">
        <v>45965</v>
      </c>
      <c r="F1044" s="198">
        <v>45995</v>
      </c>
      <c r="G1044" s="197" t="s">
        <v>71</v>
      </c>
      <c r="H1044" s="199" t="s">
        <v>324</v>
      </c>
      <c r="I1044" s="199" t="s">
        <v>3896</v>
      </c>
      <c r="J1044" s="197" t="s">
        <v>56</v>
      </c>
      <c r="K1044" s="214" t="s">
        <v>3897</v>
      </c>
      <c r="L1044" s="54" t="s">
        <v>3898</v>
      </c>
      <c r="M1044" s="201" t="s">
        <v>2741</v>
      </c>
      <c r="N1044" s="124">
        <v>3</v>
      </c>
      <c r="O1044" s="124"/>
      <c r="P1044" s="202" t="s">
        <v>3899</v>
      </c>
      <c r="Q1044" s="84"/>
      <c r="R1044" s="190"/>
      <c r="S1044" s="196"/>
    </row>
    <row r="1045" spans="1:19" ht="37.15" customHeight="1">
      <c r="A1045" s="196" t="s">
        <v>3900</v>
      </c>
      <c r="B1045" s="197" t="s">
        <v>53</v>
      </c>
      <c r="C1045" s="197" t="s">
        <v>3123</v>
      </c>
      <c r="D1045" s="124" t="s">
        <v>39</v>
      </c>
      <c r="E1045" s="198">
        <v>45967</v>
      </c>
      <c r="F1045" s="198">
        <v>45997</v>
      </c>
      <c r="G1045" s="197" t="s">
        <v>71</v>
      </c>
      <c r="H1045" s="199" t="s">
        <v>3901</v>
      </c>
      <c r="I1045" s="199" t="s">
        <v>3865</v>
      </c>
      <c r="J1045" s="197" t="s">
        <v>56</v>
      </c>
      <c r="K1045" s="200" t="s">
        <v>3902</v>
      </c>
      <c r="L1045" s="54" t="s">
        <v>3903</v>
      </c>
      <c r="M1045" s="201" t="s">
        <v>2824</v>
      </c>
      <c r="N1045" s="124">
        <v>3</v>
      </c>
      <c r="O1045" s="124"/>
      <c r="P1045" s="202" t="s">
        <v>3904</v>
      </c>
      <c r="Q1045" s="84"/>
      <c r="R1045" s="190"/>
      <c r="S1045" s="196"/>
    </row>
    <row r="1046" spans="1:19" ht="37.15" customHeight="1">
      <c r="A1046" s="196" t="s">
        <v>3905</v>
      </c>
      <c r="B1046" s="197" t="s">
        <v>53</v>
      </c>
      <c r="C1046" s="197" t="s">
        <v>886</v>
      </c>
      <c r="D1046" s="124" t="s">
        <v>117</v>
      </c>
      <c r="E1046" s="198">
        <v>45967</v>
      </c>
      <c r="F1046" s="198">
        <v>45997</v>
      </c>
      <c r="G1046" s="197" t="s">
        <v>71</v>
      </c>
      <c r="H1046" s="199" t="s">
        <v>3082</v>
      </c>
      <c r="I1046" s="199" t="s">
        <v>3906</v>
      </c>
      <c r="J1046" s="197" t="s">
        <v>56</v>
      </c>
      <c r="K1046" s="200" t="s">
        <v>42</v>
      </c>
      <c r="L1046" s="54" t="s">
        <v>3907</v>
      </c>
      <c r="M1046" s="201" t="s">
        <v>2824</v>
      </c>
      <c r="N1046" s="124">
        <v>3</v>
      </c>
      <c r="O1046" s="124"/>
      <c r="P1046" s="202" t="s">
        <v>3908</v>
      </c>
      <c r="Q1046" s="84"/>
      <c r="R1046" s="190"/>
      <c r="S1046" s="196"/>
    </row>
    <row r="1047" spans="1:19" ht="37.15" customHeight="1">
      <c r="A1047" s="196" t="s">
        <v>3909</v>
      </c>
      <c r="B1047" s="197" t="s">
        <v>53</v>
      </c>
      <c r="C1047" s="197" t="s">
        <v>886</v>
      </c>
      <c r="D1047" s="124" t="s">
        <v>39</v>
      </c>
      <c r="E1047" s="198">
        <v>45972</v>
      </c>
      <c r="F1047" s="198">
        <v>46002</v>
      </c>
      <c r="G1047" s="197" t="s">
        <v>71</v>
      </c>
      <c r="H1047" s="199" t="s">
        <v>3910</v>
      </c>
      <c r="I1047" s="199" t="s">
        <v>3911</v>
      </c>
      <c r="J1047" s="197" t="s">
        <v>56</v>
      </c>
      <c r="K1047" s="200" t="s">
        <v>42</v>
      </c>
      <c r="L1047" s="54" t="s">
        <v>3912</v>
      </c>
      <c r="M1047" s="201" t="s">
        <v>3675</v>
      </c>
      <c r="N1047" s="124">
        <v>3</v>
      </c>
      <c r="O1047" s="124"/>
      <c r="P1047" s="202" t="s">
        <v>3913</v>
      </c>
      <c r="Q1047" s="84"/>
      <c r="R1047" s="190"/>
      <c r="S1047" s="196"/>
    </row>
    <row r="1048" spans="1:19" ht="45.75" customHeight="1">
      <c r="A1048" s="196" t="s">
        <v>3914</v>
      </c>
      <c r="B1048" s="197" t="s">
        <v>53</v>
      </c>
      <c r="C1048" s="197" t="s">
        <v>3123</v>
      </c>
      <c r="D1048" s="124" t="s">
        <v>39</v>
      </c>
      <c r="E1048" s="198">
        <v>45974</v>
      </c>
      <c r="F1048" s="198" t="s">
        <v>3915</v>
      </c>
      <c r="G1048" s="197" t="s">
        <v>71</v>
      </c>
      <c r="H1048" s="199" t="s">
        <v>3916</v>
      </c>
      <c r="I1048" s="199" t="s">
        <v>3039</v>
      </c>
      <c r="J1048" s="197" t="s">
        <v>81</v>
      </c>
      <c r="K1048" s="200" t="s">
        <v>42</v>
      </c>
      <c r="L1048" s="54" t="s">
        <v>3917</v>
      </c>
      <c r="M1048" s="201" t="s">
        <v>2824</v>
      </c>
      <c r="N1048" s="124">
        <v>3</v>
      </c>
      <c r="O1048" s="124"/>
      <c r="P1048" s="202" t="s">
        <v>3918</v>
      </c>
      <c r="Q1048" s="84"/>
      <c r="R1048" s="190"/>
      <c r="S1048" s="196"/>
    </row>
    <row r="1049" spans="1:19" ht="126.75" customHeight="1">
      <c r="A1049" s="196" t="s">
        <v>3919</v>
      </c>
      <c r="B1049" s="197" t="s">
        <v>53</v>
      </c>
      <c r="C1049" s="197" t="s">
        <v>3123</v>
      </c>
      <c r="D1049" s="124" t="s">
        <v>39</v>
      </c>
      <c r="E1049" s="198">
        <v>45975</v>
      </c>
      <c r="F1049" s="198">
        <v>46005</v>
      </c>
      <c r="G1049" s="197" t="s">
        <v>71</v>
      </c>
      <c r="H1049" s="199" t="s">
        <v>3920</v>
      </c>
      <c r="I1049" s="199" t="s">
        <v>3911</v>
      </c>
      <c r="J1049" s="197" t="s">
        <v>56</v>
      </c>
      <c r="K1049" s="200" t="s">
        <v>3921</v>
      </c>
      <c r="L1049" s="54" t="s">
        <v>3922</v>
      </c>
      <c r="M1049" s="201" t="s">
        <v>2741</v>
      </c>
      <c r="N1049" s="124">
        <v>3</v>
      </c>
      <c r="O1049" s="124"/>
      <c r="P1049" s="202" t="s">
        <v>3923</v>
      </c>
      <c r="Q1049" s="84"/>
      <c r="R1049" s="190"/>
      <c r="S1049" s="196"/>
    </row>
    <row r="1050" spans="1:19" ht="73.5" customHeight="1">
      <c r="A1050" s="196" t="s">
        <v>3924</v>
      </c>
      <c r="B1050" s="197" t="s">
        <v>38</v>
      </c>
      <c r="C1050" s="197" t="s">
        <v>886</v>
      </c>
      <c r="D1050" s="124" t="s">
        <v>39</v>
      </c>
      <c r="E1050" s="198">
        <v>45975</v>
      </c>
      <c r="F1050" s="198">
        <v>46005</v>
      </c>
      <c r="G1050" s="197" t="s">
        <v>2250</v>
      </c>
      <c r="H1050" s="235" t="s">
        <v>3925</v>
      </c>
      <c r="I1050" s="199" t="s">
        <v>3926</v>
      </c>
      <c r="J1050" s="197" t="s">
        <v>56</v>
      </c>
      <c r="K1050" s="200" t="s">
        <v>42</v>
      </c>
      <c r="L1050" s="54" t="s">
        <v>3927</v>
      </c>
      <c r="M1050" s="201" t="s">
        <v>3928</v>
      </c>
      <c r="N1050" s="124">
        <v>2</v>
      </c>
      <c r="O1050" s="124"/>
      <c r="P1050" s="202" t="s">
        <v>3929</v>
      </c>
      <c r="Q1050" s="84"/>
      <c r="R1050" s="190"/>
      <c r="S1050" s="196"/>
    </row>
    <row r="1051" spans="1:19" ht="49.7" customHeight="1">
      <c r="A1051" s="196" t="s">
        <v>3930</v>
      </c>
      <c r="B1051" s="197" t="s">
        <v>53</v>
      </c>
      <c r="C1051" s="197" t="s">
        <v>3123</v>
      </c>
      <c r="D1051" s="124" t="s">
        <v>39</v>
      </c>
      <c r="E1051" s="198">
        <v>45978</v>
      </c>
      <c r="F1051" s="198">
        <v>46008</v>
      </c>
      <c r="G1051" s="197" t="s">
        <v>71</v>
      </c>
      <c r="H1051" s="199" t="s">
        <v>3931</v>
      </c>
      <c r="I1051" s="199" t="s">
        <v>3811</v>
      </c>
      <c r="J1051" s="197" t="s">
        <v>56</v>
      </c>
      <c r="K1051" s="200" t="s">
        <v>3932</v>
      </c>
      <c r="L1051" s="54" t="s">
        <v>3933</v>
      </c>
      <c r="M1051" s="201" t="s">
        <v>2741</v>
      </c>
      <c r="N1051" s="124">
        <v>2</v>
      </c>
      <c r="O1051" s="124"/>
      <c r="P1051" s="202" t="s">
        <v>3031</v>
      </c>
      <c r="Q1051" s="84"/>
      <c r="R1051" s="190"/>
      <c r="S1051" s="196"/>
    </row>
    <row r="1052" spans="1:19" ht="37.15" customHeight="1">
      <c r="A1052" s="196" t="s">
        <v>3934</v>
      </c>
      <c r="B1052" s="197" t="s">
        <v>53</v>
      </c>
      <c r="C1052" s="197" t="s">
        <v>886</v>
      </c>
      <c r="D1052" s="124" t="s">
        <v>39</v>
      </c>
      <c r="E1052" s="198">
        <v>45981</v>
      </c>
      <c r="F1052" s="198">
        <v>46011</v>
      </c>
      <c r="G1052" s="197" t="s">
        <v>3935</v>
      </c>
      <c r="H1052" s="199" t="s">
        <v>3936</v>
      </c>
      <c r="I1052" s="199" t="s">
        <v>3937</v>
      </c>
      <c r="J1052" s="197" t="s">
        <v>56</v>
      </c>
      <c r="K1052" s="200"/>
      <c r="L1052" s="54" t="s">
        <v>3938</v>
      </c>
      <c r="M1052" s="201"/>
      <c r="N1052" s="124"/>
      <c r="O1052" s="124"/>
      <c r="P1052" s="202"/>
      <c r="Q1052" s="84"/>
      <c r="R1052" s="190"/>
      <c r="S1052" s="196"/>
    </row>
    <row r="1053" spans="1:19" ht="63">
      <c r="A1053" s="196" t="s">
        <v>3939</v>
      </c>
      <c r="B1053" s="197" t="s">
        <v>53</v>
      </c>
      <c r="C1053" s="197" t="s">
        <v>3123</v>
      </c>
      <c r="D1053" s="124" t="s">
        <v>39</v>
      </c>
      <c r="E1053" s="198">
        <v>45981</v>
      </c>
      <c r="F1053" s="198">
        <v>46011</v>
      </c>
      <c r="G1053" s="197" t="s">
        <v>3935</v>
      </c>
      <c r="H1053" s="199" t="s">
        <v>3940</v>
      </c>
      <c r="I1053" s="199" t="s">
        <v>3039</v>
      </c>
      <c r="J1053" s="197" t="s">
        <v>56</v>
      </c>
      <c r="K1053" s="200" t="s">
        <v>3941</v>
      </c>
      <c r="L1053" s="54" t="s">
        <v>3942</v>
      </c>
      <c r="M1053" s="201" t="s">
        <v>2741</v>
      </c>
      <c r="N1053" s="124">
        <v>2</v>
      </c>
      <c r="O1053" s="124"/>
      <c r="P1053" s="202" t="s">
        <v>3943</v>
      </c>
      <c r="Q1053" s="84"/>
      <c r="R1053" s="190"/>
      <c r="S1053" s="196"/>
    </row>
    <row r="1054" spans="1:19" ht="45">
      <c r="A1054" s="196" t="s">
        <v>3944</v>
      </c>
      <c r="B1054" s="197" t="s">
        <v>38</v>
      </c>
      <c r="C1054" s="197" t="s">
        <v>3123</v>
      </c>
      <c r="D1054" s="124" t="s">
        <v>39</v>
      </c>
      <c r="E1054" s="198">
        <v>45986</v>
      </c>
      <c r="F1054" s="198">
        <v>46016</v>
      </c>
      <c r="G1054" s="197" t="s">
        <v>71</v>
      </c>
      <c r="H1054" s="199" t="s">
        <v>3945</v>
      </c>
      <c r="I1054" s="199" t="s">
        <v>3384</v>
      </c>
      <c r="J1054" s="197" t="s">
        <v>56</v>
      </c>
      <c r="K1054" s="200" t="s">
        <v>3946</v>
      </c>
      <c r="L1054" s="54" t="s">
        <v>3947</v>
      </c>
      <c r="M1054" s="201" t="s">
        <v>2735</v>
      </c>
      <c r="N1054" s="124">
        <v>2</v>
      </c>
      <c r="O1054" s="124"/>
      <c r="P1054" s="202" t="s">
        <v>3948</v>
      </c>
      <c r="Q1054" s="84"/>
      <c r="R1054" s="190"/>
      <c r="S1054" s="196"/>
    </row>
    <row r="1055" spans="1:19" ht="114.75" customHeight="1">
      <c r="A1055" s="196" t="s">
        <v>3949</v>
      </c>
      <c r="B1055" s="197" t="s">
        <v>53</v>
      </c>
      <c r="C1055" s="197" t="s">
        <v>3123</v>
      </c>
      <c r="D1055" s="124" t="s">
        <v>39</v>
      </c>
      <c r="E1055" s="198">
        <v>45993</v>
      </c>
      <c r="F1055" s="198">
        <v>46024</v>
      </c>
      <c r="G1055" s="197" t="s">
        <v>71</v>
      </c>
      <c r="H1055" s="199" t="s">
        <v>3950</v>
      </c>
      <c r="I1055" s="199" t="s">
        <v>3951</v>
      </c>
      <c r="J1055" s="197" t="s">
        <v>56</v>
      </c>
      <c r="K1055" s="200" t="s">
        <v>3952</v>
      </c>
      <c r="L1055" s="54" t="s">
        <v>3953</v>
      </c>
      <c r="M1055" s="201" t="s">
        <v>2741</v>
      </c>
      <c r="N1055" s="124">
        <v>2</v>
      </c>
      <c r="O1055" s="124"/>
      <c r="P1055" s="202" t="s">
        <v>3954</v>
      </c>
      <c r="Q1055" s="84" t="s">
        <v>45</v>
      </c>
      <c r="R1055" s="190">
        <v>46006</v>
      </c>
      <c r="S1055" s="196"/>
    </row>
    <row r="1056" spans="1:19" ht="53.65" customHeight="1">
      <c r="A1056" s="196" t="s">
        <v>3955</v>
      </c>
      <c r="B1056" s="197" t="s">
        <v>53</v>
      </c>
      <c r="C1056" s="197" t="s">
        <v>3123</v>
      </c>
      <c r="D1056" s="124" t="s">
        <v>39</v>
      </c>
      <c r="E1056" s="198">
        <v>45994</v>
      </c>
      <c r="F1056" s="198">
        <v>46025</v>
      </c>
      <c r="G1056" s="197" t="s">
        <v>71</v>
      </c>
      <c r="H1056" s="199" t="s">
        <v>3870</v>
      </c>
      <c r="I1056" s="199" t="s">
        <v>3039</v>
      </c>
      <c r="J1056" s="197" t="s">
        <v>56</v>
      </c>
      <c r="K1056" s="200" t="s">
        <v>3956</v>
      </c>
      <c r="L1056" s="54" t="s">
        <v>3957</v>
      </c>
      <c r="M1056" s="201" t="s">
        <v>2824</v>
      </c>
      <c r="N1056" s="124">
        <v>2</v>
      </c>
      <c r="O1056" s="124"/>
      <c r="P1056" s="202" t="s">
        <v>3958</v>
      </c>
      <c r="Q1056" s="84"/>
      <c r="R1056" s="190"/>
      <c r="S1056" s="196"/>
    </row>
    <row r="1057" spans="1:19" ht="51" customHeight="1">
      <c r="A1057" s="196" t="s">
        <v>3959</v>
      </c>
      <c r="B1057" s="197" t="s">
        <v>53</v>
      </c>
      <c r="C1057" s="197" t="s">
        <v>3123</v>
      </c>
      <c r="D1057" s="124" t="s">
        <v>39</v>
      </c>
      <c r="E1057" s="222">
        <v>45996</v>
      </c>
      <c r="F1057" s="198">
        <v>46027</v>
      </c>
      <c r="G1057" s="197" t="s">
        <v>71</v>
      </c>
      <c r="H1057" s="199" t="s">
        <v>3901</v>
      </c>
      <c r="I1057" s="199" t="s">
        <v>3865</v>
      </c>
      <c r="J1057" s="197" t="s">
        <v>56</v>
      </c>
      <c r="K1057" s="200" t="s">
        <v>3960</v>
      </c>
      <c r="L1057" s="236" t="s">
        <v>3961</v>
      </c>
      <c r="M1057" s="201" t="s">
        <v>2824</v>
      </c>
      <c r="N1057" s="124">
        <v>2</v>
      </c>
      <c r="O1057" s="124"/>
      <c r="P1057" s="202" t="s">
        <v>3962</v>
      </c>
      <c r="Q1057" s="84"/>
      <c r="R1057" s="190"/>
      <c r="S1057" s="196"/>
    </row>
    <row r="1058" spans="1:19" ht="49.15" customHeight="1">
      <c r="A1058" s="196" t="s">
        <v>3963</v>
      </c>
      <c r="B1058" s="197" t="s">
        <v>53</v>
      </c>
      <c r="C1058" s="197" t="s">
        <v>3123</v>
      </c>
      <c r="D1058" s="124" t="s">
        <v>39</v>
      </c>
      <c r="E1058" s="198">
        <v>46002</v>
      </c>
      <c r="F1058" s="198">
        <v>46033</v>
      </c>
      <c r="G1058" s="197" t="s">
        <v>71</v>
      </c>
      <c r="H1058" s="199" t="s">
        <v>3870</v>
      </c>
      <c r="I1058" s="199" t="s">
        <v>3039</v>
      </c>
      <c r="J1058" s="197" t="s">
        <v>56</v>
      </c>
      <c r="K1058" s="200" t="s">
        <v>3964</v>
      </c>
      <c r="L1058" s="54" t="s">
        <v>3965</v>
      </c>
      <c r="M1058" s="201" t="s">
        <v>2824</v>
      </c>
      <c r="N1058" s="124">
        <v>3</v>
      </c>
      <c r="O1058" s="124"/>
      <c r="P1058" s="202" t="s">
        <v>3966</v>
      </c>
      <c r="Q1058" s="84"/>
      <c r="R1058" s="190"/>
      <c r="S1058" s="196"/>
    </row>
    <row r="1059" spans="1:19" ht="37.15" customHeight="1">
      <c r="A1059" s="196" t="s">
        <v>3967</v>
      </c>
      <c r="B1059" s="197" t="s">
        <v>53</v>
      </c>
      <c r="C1059" s="197" t="s">
        <v>3123</v>
      </c>
      <c r="D1059" s="124" t="s">
        <v>39</v>
      </c>
      <c r="E1059" s="198">
        <v>46002</v>
      </c>
      <c r="F1059" s="198">
        <v>46033</v>
      </c>
      <c r="G1059" s="197" t="s">
        <v>71</v>
      </c>
      <c r="H1059" s="199" t="s">
        <v>3901</v>
      </c>
      <c r="I1059" s="199" t="s">
        <v>3384</v>
      </c>
      <c r="J1059" s="197" t="s">
        <v>81</v>
      </c>
      <c r="K1059" s="200" t="s">
        <v>3968</v>
      </c>
      <c r="L1059" s="54" t="s">
        <v>3969</v>
      </c>
      <c r="M1059" s="201" t="s">
        <v>2824</v>
      </c>
      <c r="N1059" s="124">
        <v>2</v>
      </c>
      <c r="O1059" s="124"/>
      <c r="P1059" s="202" t="s">
        <v>3970</v>
      </c>
      <c r="Q1059" s="84"/>
      <c r="R1059" s="190"/>
      <c r="S1059" s="196"/>
    </row>
    <row r="1060" spans="1:19" ht="37.15" customHeight="1">
      <c r="A1060" s="196" t="s">
        <v>3971</v>
      </c>
      <c r="B1060" s="197" t="s">
        <v>38</v>
      </c>
      <c r="C1060" s="197" t="s">
        <v>3123</v>
      </c>
      <c r="D1060" s="124" t="s">
        <v>39</v>
      </c>
      <c r="E1060" s="198">
        <v>46003</v>
      </c>
      <c r="F1060" s="198">
        <v>46034</v>
      </c>
      <c r="G1060" s="197" t="s">
        <v>1554</v>
      </c>
      <c r="H1060" s="199" t="s">
        <v>3972</v>
      </c>
      <c r="I1060" s="199" t="s">
        <v>3973</v>
      </c>
      <c r="J1060" s="197" t="s">
        <v>56</v>
      </c>
      <c r="K1060" s="200" t="s">
        <v>3974</v>
      </c>
      <c r="L1060" s="54" t="s">
        <v>3975</v>
      </c>
      <c r="M1060" s="201" t="s">
        <v>3928</v>
      </c>
      <c r="N1060" s="124">
        <v>1</v>
      </c>
      <c r="O1060" s="124"/>
      <c r="P1060" s="202" t="s">
        <v>3976</v>
      </c>
      <c r="Q1060" s="178" t="s">
        <v>45</v>
      </c>
      <c r="R1060" s="105">
        <v>46003</v>
      </c>
      <c r="S1060" s="196"/>
    </row>
    <row r="1061" spans="1:19" ht="45" customHeight="1">
      <c r="A1061" s="196" t="s">
        <v>3977</v>
      </c>
      <c r="B1061" s="197" t="s">
        <v>53</v>
      </c>
      <c r="C1061" s="197" t="s">
        <v>3123</v>
      </c>
      <c r="D1061" s="124" t="s">
        <v>39</v>
      </c>
      <c r="E1061" s="198">
        <v>46005</v>
      </c>
      <c r="F1061" s="198">
        <v>45671</v>
      </c>
      <c r="G1061" s="197" t="s">
        <v>71</v>
      </c>
      <c r="H1061" s="199" t="s">
        <v>398</v>
      </c>
      <c r="I1061" s="199" t="s">
        <v>3978</v>
      </c>
      <c r="J1061" s="197" t="s">
        <v>56</v>
      </c>
      <c r="K1061" s="200" t="s">
        <v>3979</v>
      </c>
      <c r="L1061" s="54" t="s">
        <v>3980</v>
      </c>
      <c r="M1061" s="201" t="s">
        <v>2741</v>
      </c>
      <c r="N1061" s="124">
        <v>2</v>
      </c>
      <c r="O1061" s="124"/>
      <c r="P1061" s="202" t="s">
        <v>3981</v>
      </c>
      <c r="Q1061" s="84" t="s">
        <v>45</v>
      </c>
      <c r="R1061" s="190"/>
      <c r="S1061" s="196"/>
    </row>
    <row r="1062" spans="1:19" ht="85.7" customHeight="1">
      <c r="A1062" s="196" t="s">
        <v>3982</v>
      </c>
      <c r="B1062" s="197" t="s">
        <v>53</v>
      </c>
      <c r="C1062" s="197" t="s">
        <v>3123</v>
      </c>
      <c r="D1062" s="124" t="s">
        <v>39</v>
      </c>
      <c r="E1062" s="198">
        <v>46005</v>
      </c>
      <c r="F1062" s="198">
        <v>45730</v>
      </c>
      <c r="G1062" s="197" t="s">
        <v>279</v>
      </c>
      <c r="H1062" s="199" t="s">
        <v>3659</v>
      </c>
      <c r="I1062" s="199" t="s">
        <v>3983</v>
      </c>
      <c r="J1062" s="197" t="s">
        <v>3984</v>
      </c>
      <c r="K1062" s="200" t="s">
        <v>3968</v>
      </c>
      <c r="L1062" s="54" t="s">
        <v>3985</v>
      </c>
      <c r="M1062" s="201" t="s">
        <v>2741</v>
      </c>
      <c r="N1062" s="124">
        <v>2</v>
      </c>
      <c r="O1062" s="124"/>
      <c r="P1062" s="202" t="s">
        <v>3986</v>
      </c>
      <c r="Q1062" s="84" t="s">
        <v>45</v>
      </c>
      <c r="R1062" s="190"/>
      <c r="S1062" s="196"/>
    </row>
    <row r="1063" spans="1:19" ht="37.15" customHeight="1">
      <c r="A1063" s="196" t="s">
        <v>3987</v>
      </c>
      <c r="B1063" s="197" t="s">
        <v>53</v>
      </c>
      <c r="C1063" s="197" t="s">
        <v>3123</v>
      </c>
      <c r="D1063" s="124" t="s">
        <v>39</v>
      </c>
      <c r="E1063" s="198">
        <v>46006</v>
      </c>
      <c r="F1063" s="198">
        <v>46037</v>
      </c>
      <c r="G1063" s="197" t="s">
        <v>71</v>
      </c>
      <c r="H1063" s="199" t="s">
        <v>3870</v>
      </c>
      <c r="I1063" s="199" t="s">
        <v>3988</v>
      </c>
      <c r="J1063" s="197" t="s">
        <v>102</v>
      </c>
      <c r="K1063" s="200" t="s">
        <v>3989</v>
      </c>
      <c r="L1063" s="199" t="s">
        <v>3988</v>
      </c>
      <c r="M1063" s="201" t="s">
        <v>2824</v>
      </c>
      <c r="N1063" s="124">
        <v>2</v>
      </c>
      <c r="O1063" s="124"/>
      <c r="P1063" s="202" t="s">
        <v>3990</v>
      </c>
      <c r="Q1063" s="84"/>
      <c r="R1063" s="190"/>
      <c r="S1063" s="196"/>
    </row>
    <row r="1064" spans="1:19" ht="70.7" customHeight="1">
      <c r="A1064" s="196" t="s">
        <v>3991</v>
      </c>
      <c r="B1064" s="197" t="s">
        <v>53</v>
      </c>
      <c r="C1064" s="197" t="s">
        <v>3123</v>
      </c>
      <c r="D1064" s="124" t="s">
        <v>39</v>
      </c>
      <c r="E1064" s="198">
        <v>46006</v>
      </c>
      <c r="F1064" s="198">
        <v>46037</v>
      </c>
      <c r="G1064" s="197" t="s">
        <v>71</v>
      </c>
      <c r="H1064" s="199" t="s">
        <v>3870</v>
      </c>
      <c r="I1064" s="199" t="s">
        <v>3313</v>
      </c>
      <c r="J1064" s="197" t="s">
        <v>56</v>
      </c>
      <c r="K1064" s="200" t="s">
        <v>3989</v>
      </c>
      <c r="L1064" s="54" t="s">
        <v>3992</v>
      </c>
      <c r="M1064" s="201" t="s">
        <v>2824</v>
      </c>
      <c r="N1064" s="124">
        <v>2</v>
      </c>
      <c r="O1064" s="124"/>
      <c r="P1064" s="202" t="s">
        <v>3993</v>
      </c>
      <c r="Q1064" s="84"/>
      <c r="R1064" s="190"/>
      <c r="S1064" s="196"/>
    </row>
    <row r="1065" spans="1:19" ht="37.15" customHeight="1">
      <c r="A1065" s="196" t="s">
        <v>3994</v>
      </c>
      <c r="B1065" s="197" t="s">
        <v>38</v>
      </c>
      <c r="C1065" s="197" t="s">
        <v>886</v>
      </c>
      <c r="D1065" s="124" t="s">
        <v>117</v>
      </c>
      <c r="E1065" s="198" t="s">
        <v>43</v>
      </c>
      <c r="F1065" s="198" t="s">
        <v>43</v>
      </c>
      <c r="G1065" s="197" t="s">
        <v>1554</v>
      </c>
      <c r="H1065" s="199" t="s">
        <v>3995</v>
      </c>
      <c r="I1065" s="199" t="s">
        <v>3996</v>
      </c>
      <c r="J1065" s="197" t="s">
        <v>56</v>
      </c>
      <c r="K1065" s="200" t="s">
        <v>3997</v>
      </c>
      <c r="L1065" s="54" t="s">
        <v>3998</v>
      </c>
      <c r="M1065" s="201" t="s">
        <v>3999</v>
      </c>
      <c r="N1065" s="124">
        <v>2</v>
      </c>
      <c r="O1065" s="124"/>
      <c r="P1065" s="202" t="s">
        <v>4000</v>
      </c>
      <c r="Q1065" s="84"/>
      <c r="R1065" s="190"/>
      <c r="S1065" s="196"/>
    </row>
    <row r="1066" spans="1:19" ht="45" customHeight="1">
      <c r="A1066" s="196" t="s">
        <v>4001</v>
      </c>
      <c r="B1066" s="197" t="s">
        <v>53</v>
      </c>
      <c r="C1066" s="197" t="s">
        <v>886</v>
      </c>
      <c r="D1066" s="124" t="s">
        <v>39</v>
      </c>
      <c r="E1066" s="198">
        <v>46008</v>
      </c>
      <c r="F1066" s="198">
        <v>46048</v>
      </c>
      <c r="G1066" s="197" t="s">
        <v>71</v>
      </c>
      <c r="H1066" s="199" t="s">
        <v>4002</v>
      </c>
      <c r="I1066" s="199" t="s">
        <v>3896</v>
      </c>
      <c r="J1066" s="197" t="s">
        <v>56</v>
      </c>
      <c r="K1066" s="200"/>
      <c r="L1066" s="54" t="s">
        <v>4003</v>
      </c>
      <c r="M1066" s="201" t="s">
        <v>3675</v>
      </c>
      <c r="N1066" s="124">
        <v>2</v>
      </c>
      <c r="O1066" s="124"/>
      <c r="P1066" s="202" t="s">
        <v>4004</v>
      </c>
      <c r="Q1066" s="116"/>
      <c r="R1066" s="190"/>
      <c r="S1066" s="196"/>
    </row>
    <row r="1067" spans="1:19" ht="75.75" customHeight="1">
      <c r="A1067" s="196" t="s">
        <v>4005</v>
      </c>
      <c r="B1067" s="197" t="s">
        <v>53</v>
      </c>
      <c r="C1067" s="197" t="s">
        <v>3123</v>
      </c>
      <c r="D1067" s="124" t="s">
        <v>39</v>
      </c>
      <c r="E1067" s="198">
        <v>46009</v>
      </c>
      <c r="F1067" s="198">
        <v>46040</v>
      </c>
      <c r="G1067" s="197" t="s">
        <v>71</v>
      </c>
      <c r="H1067" s="199" t="s">
        <v>3028</v>
      </c>
      <c r="I1067" s="199" t="s">
        <v>2815</v>
      </c>
      <c r="J1067" s="197" t="s">
        <v>56</v>
      </c>
      <c r="K1067" s="200" t="s">
        <v>4006</v>
      </c>
      <c r="L1067" s="54" t="s">
        <v>4007</v>
      </c>
      <c r="M1067" s="201" t="s">
        <v>2741</v>
      </c>
      <c r="N1067" s="124">
        <v>2</v>
      </c>
      <c r="O1067" s="124"/>
      <c r="P1067" s="202" t="s">
        <v>4008</v>
      </c>
      <c r="Q1067" s="84"/>
      <c r="R1067" s="190"/>
      <c r="S1067" s="196"/>
    </row>
    <row r="1068" spans="1:19" ht="95.25" customHeight="1">
      <c r="A1068" s="196" t="s">
        <v>4009</v>
      </c>
      <c r="B1068" s="197" t="s">
        <v>53</v>
      </c>
      <c r="C1068" s="197" t="s">
        <v>3123</v>
      </c>
      <c r="D1068" s="124" t="s">
        <v>39</v>
      </c>
      <c r="E1068" s="198">
        <v>46009</v>
      </c>
      <c r="F1068" s="198">
        <v>46040</v>
      </c>
      <c r="G1068" s="197" t="s">
        <v>71</v>
      </c>
      <c r="H1068" s="199" t="s">
        <v>4010</v>
      </c>
      <c r="I1068" s="199" t="s">
        <v>4011</v>
      </c>
      <c r="J1068" s="197" t="s">
        <v>56</v>
      </c>
      <c r="K1068" s="200" t="s">
        <v>4012</v>
      </c>
      <c r="L1068" s="54" t="s">
        <v>4013</v>
      </c>
      <c r="M1068" s="201" t="s">
        <v>2741</v>
      </c>
      <c r="N1068" s="124">
        <v>2</v>
      </c>
      <c r="O1068" s="124"/>
      <c r="P1068" s="202" t="s">
        <v>4014</v>
      </c>
      <c r="Q1068" s="84"/>
      <c r="R1068" s="190"/>
      <c r="S1068" s="196"/>
    </row>
    <row r="1069" spans="1:19" ht="37.15" customHeight="1">
      <c r="A1069" s="196" t="s">
        <v>4015</v>
      </c>
      <c r="B1069" s="197" t="s">
        <v>53</v>
      </c>
      <c r="C1069" s="197" t="s">
        <v>3123</v>
      </c>
      <c r="D1069" s="124" t="s">
        <v>39</v>
      </c>
      <c r="E1069" s="198">
        <v>46013</v>
      </c>
      <c r="F1069" s="198">
        <v>46044</v>
      </c>
      <c r="G1069" s="197" t="s">
        <v>71</v>
      </c>
      <c r="H1069" s="199" t="s">
        <v>4016</v>
      </c>
      <c r="I1069" s="199" t="s">
        <v>3811</v>
      </c>
      <c r="J1069" s="197" t="s">
        <v>56</v>
      </c>
      <c r="K1069" s="200" t="s">
        <v>4017</v>
      </c>
      <c r="L1069" s="54" t="s">
        <v>4018</v>
      </c>
      <c r="M1069" s="201" t="s">
        <v>2824</v>
      </c>
      <c r="N1069" s="124">
        <v>2</v>
      </c>
      <c r="O1069" s="124"/>
      <c r="P1069" s="202" t="s">
        <v>4019</v>
      </c>
      <c r="Q1069" s="84"/>
      <c r="R1069" s="190"/>
      <c r="S1069" s="196"/>
    </row>
    <row r="1070" spans="1:19" ht="37.15" customHeight="1">
      <c r="A1070" s="196" t="s">
        <v>4020</v>
      </c>
      <c r="B1070" s="197" t="s">
        <v>53</v>
      </c>
      <c r="C1070" s="197" t="s">
        <v>3123</v>
      </c>
      <c r="D1070" s="124" t="s">
        <v>39</v>
      </c>
      <c r="E1070" s="198">
        <v>46014</v>
      </c>
      <c r="F1070" s="198">
        <v>46045</v>
      </c>
      <c r="G1070" s="197" t="s">
        <v>71</v>
      </c>
      <c r="H1070" s="199" t="s">
        <v>3845</v>
      </c>
      <c r="I1070" s="199" t="s">
        <v>4021</v>
      </c>
      <c r="J1070" s="197" t="s">
        <v>56</v>
      </c>
      <c r="K1070" s="200" t="s">
        <v>4022</v>
      </c>
      <c r="L1070" s="54" t="s">
        <v>4023</v>
      </c>
      <c r="M1070" s="201" t="s">
        <v>2824</v>
      </c>
      <c r="N1070" s="124">
        <v>2</v>
      </c>
      <c r="O1070" s="124"/>
      <c r="P1070" s="202" t="s">
        <v>4024</v>
      </c>
      <c r="Q1070" s="84"/>
      <c r="R1070" s="190"/>
      <c r="S1070" s="196"/>
    </row>
    <row r="1071" spans="1:19" ht="37.15" customHeight="1">
      <c r="A1071" s="196" t="s">
        <v>4025</v>
      </c>
      <c r="B1071" s="197" t="s">
        <v>53</v>
      </c>
      <c r="C1071" s="197" t="s">
        <v>3123</v>
      </c>
      <c r="D1071" s="124" t="s">
        <v>39</v>
      </c>
      <c r="E1071" s="198">
        <v>46014</v>
      </c>
      <c r="F1071" s="198">
        <v>46045</v>
      </c>
      <c r="G1071" s="197" t="s">
        <v>71</v>
      </c>
      <c r="H1071" s="199" t="s">
        <v>3901</v>
      </c>
      <c r="I1071" s="199" t="s">
        <v>3313</v>
      </c>
      <c r="J1071" s="197" t="s">
        <v>56</v>
      </c>
      <c r="K1071" s="200" t="s">
        <v>4022</v>
      </c>
      <c r="L1071" s="54" t="s">
        <v>4026</v>
      </c>
      <c r="M1071" s="201" t="s">
        <v>2824</v>
      </c>
      <c r="N1071" s="124">
        <v>2</v>
      </c>
      <c r="O1071" s="124"/>
      <c r="P1071" s="202" t="s">
        <v>4024</v>
      </c>
      <c r="Q1071" s="84"/>
      <c r="R1071" s="190"/>
      <c r="S1071" s="196"/>
    </row>
    <row r="1072" spans="1:19" ht="37.15" customHeight="1">
      <c r="A1072" s="196"/>
      <c r="B1072" s="197"/>
      <c r="C1072" s="197"/>
      <c r="D1072" s="124"/>
      <c r="E1072" s="198"/>
      <c r="F1072" s="198"/>
      <c r="G1072" s="197"/>
      <c r="H1072" s="199"/>
      <c r="I1072" s="199"/>
      <c r="J1072" s="197"/>
      <c r="K1072" s="200"/>
      <c r="L1072" s="54"/>
      <c r="M1072" s="201"/>
      <c r="N1072" s="124"/>
      <c r="O1072" s="124"/>
      <c r="P1072" s="202"/>
      <c r="Q1072" s="84"/>
      <c r="R1072" s="190"/>
      <c r="S1072" s="196"/>
    </row>
    <row r="1073" spans="1:19" ht="37.15" customHeight="1">
      <c r="A1073" s="196"/>
      <c r="B1073" s="197"/>
      <c r="C1073" s="197"/>
      <c r="D1073" s="124"/>
      <c r="E1073" s="198"/>
      <c r="F1073" s="198"/>
      <c r="G1073" s="197"/>
      <c r="H1073" s="199"/>
      <c r="I1073" s="199"/>
      <c r="J1073" s="197"/>
      <c r="K1073" s="200"/>
      <c r="L1073" s="54"/>
      <c r="M1073" s="201"/>
      <c r="N1073" s="124"/>
      <c r="O1073" s="124"/>
      <c r="P1073" s="202"/>
      <c r="Q1073" s="84"/>
      <c r="R1073" s="190"/>
      <c r="S1073" s="196"/>
    </row>
    <row r="1074" spans="1:19" ht="37.15" customHeight="1">
      <c r="A1074" s="196"/>
      <c r="B1074" s="197"/>
      <c r="C1074" s="197"/>
      <c r="D1074" s="124"/>
      <c r="E1074" s="198"/>
      <c r="F1074" s="198"/>
      <c r="G1074" s="197"/>
      <c r="H1074" s="199"/>
      <c r="I1074" s="199"/>
      <c r="J1074" s="197"/>
      <c r="K1074" s="200"/>
      <c r="L1074" s="54"/>
      <c r="M1074" s="201"/>
      <c r="N1074" s="124"/>
      <c r="O1074" s="124"/>
      <c r="P1074" s="202"/>
      <c r="Q1074" s="84"/>
      <c r="R1074" s="190"/>
      <c r="S1074" s="196"/>
    </row>
    <row r="1075" spans="1:19" ht="37.15" customHeight="1">
      <c r="A1075" s="196"/>
      <c r="B1075" s="197"/>
      <c r="C1075" s="197"/>
      <c r="D1075" s="124"/>
      <c r="E1075" s="198"/>
      <c r="F1075" s="198"/>
      <c r="G1075" s="197"/>
      <c r="H1075" s="199"/>
      <c r="I1075" s="199"/>
      <c r="J1075" s="197"/>
      <c r="K1075" s="200"/>
      <c r="L1075" s="54"/>
      <c r="M1075" s="201"/>
      <c r="N1075" s="124"/>
      <c r="O1075" s="124"/>
      <c r="P1075" s="202"/>
      <c r="Q1075" s="84"/>
      <c r="R1075" s="190"/>
      <c r="S1075" s="196"/>
    </row>
    <row r="1076" spans="1:19" ht="37.15" customHeight="1">
      <c r="A1076" s="196"/>
      <c r="B1076" s="197"/>
      <c r="C1076" s="197"/>
      <c r="D1076" s="124"/>
      <c r="E1076" s="198"/>
      <c r="F1076" s="198"/>
      <c r="G1076" s="197"/>
      <c r="H1076" s="199"/>
      <c r="I1076" s="199"/>
      <c r="J1076" s="197"/>
      <c r="K1076" s="200"/>
      <c r="L1076" s="54"/>
      <c r="M1076" s="201"/>
      <c r="N1076" s="124"/>
      <c r="O1076" s="124"/>
      <c r="P1076" s="202"/>
      <c r="Q1076" s="84"/>
      <c r="R1076" s="190"/>
      <c r="S1076" s="196"/>
    </row>
    <row r="1077" spans="1:19" ht="37.15" customHeight="1">
      <c r="A1077" s="196"/>
      <c r="B1077" s="197"/>
      <c r="C1077" s="197"/>
      <c r="D1077" s="124"/>
      <c r="E1077" s="198"/>
      <c r="F1077" s="198"/>
      <c r="G1077" s="197"/>
      <c r="H1077" s="199"/>
      <c r="I1077" s="199"/>
      <c r="J1077" s="197"/>
      <c r="K1077" s="200"/>
      <c r="L1077" s="54"/>
      <c r="M1077" s="201"/>
      <c r="N1077" s="124"/>
      <c r="O1077" s="124"/>
      <c r="P1077" s="202"/>
      <c r="Q1077" s="84"/>
      <c r="R1077" s="190"/>
      <c r="S1077" s="196"/>
    </row>
    <row r="1078" spans="1:19" ht="37.15" customHeight="1">
      <c r="A1078" s="196"/>
      <c r="B1078" s="197"/>
      <c r="C1078" s="197"/>
      <c r="D1078" s="124"/>
      <c r="E1078" s="198"/>
      <c r="F1078" s="198"/>
      <c r="G1078" s="197"/>
      <c r="H1078" s="199"/>
      <c r="I1078" s="199"/>
      <c r="J1078" s="197"/>
      <c r="K1078" s="200"/>
      <c r="L1078" s="54"/>
      <c r="M1078" s="201"/>
      <c r="N1078" s="124"/>
      <c r="O1078" s="124"/>
      <c r="P1078" s="202"/>
      <c r="Q1078" s="84"/>
      <c r="R1078" s="190"/>
      <c r="S1078" s="196"/>
    </row>
    <row r="1079" spans="1:19" ht="37.15" customHeight="1">
      <c r="A1079" s="196"/>
      <c r="B1079" s="197"/>
      <c r="C1079" s="197"/>
      <c r="D1079" s="124"/>
      <c r="E1079" s="198"/>
      <c r="F1079" s="198"/>
      <c r="G1079" s="197"/>
      <c r="H1079" s="199"/>
      <c r="I1079" s="199"/>
      <c r="J1079" s="197"/>
      <c r="K1079" s="200"/>
      <c r="L1079" s="54"/>
      <c r="M1079" s="201"/>
      <c r="N1079" s="124"/>
      <c r="O1079" s="124"/>
      <c r="P1079" s="202"/>
      <c r="Q1079" s="84"/>
      <c r="R1079" s="190"/>
      <c r="S1079" s="196"/>
    </row>
    <row r="1080" spans="1:19" ht="37.15" customHeight="1">
      <c r="A1080" s="196"/>
      <c r="B1080" s="197"/>
      <c r="C1080" s="197"/>
      <c r="D1080" s="124"/>
      <c r="E1080" s="198"/>
      <c r="F1080" s="198"/>
      <c r="G1080" s="197"/>
      <c r="H1080" s="199"/>
      <c r="I1080" s="199"/>
      <c r="J1080" s="197"/>
      <c r="K1080" s="200"/>
      <c r="L1080" s="54"/>
      <c r="M1080" s="201"/>
      <c r="N1080" s="124"/>
      <c r="O1080" s="124"/>
      <c r="P1080" s="202"/>
      <c r="Q1080" s="84"/>
      <c r="R1080" s="190"/>
      <c r="S1080" s="196"/>
    </row>
    <row r="1081" spans="1:19" ht="37.15" customHeight="1">
      <c r="A1081" s="196"/>
      <c r="B1081" s="197"/>
      <c r="C1081" s="197"/>
      <c r="D1081" s="124"/>
      <c r="E1081" s="198"/>
      <c r="F1081" s="198"/>
      <c r="G1081" s="197"/>
      <c r="H1081" s="199"/>
      <c r="I1081" s="199"/>
      <c r="J1081" s="197"/>
      <c r="K1081" s="200"/>
      <c r="L1081" s="54"/>
      <c r="M1081" s="201"/>
      <c r="N1081" s="124"/>
      <c r="O1081" s="124"/>
      <c r="P1081" s="202"/>
      <c r="Q1081" s="84"/>
      <c r="R1081" s="190"/>
      <c r="S1081" s="196"/>
    </row>
    <row r="1082" spans="1:19" ht="37.15" customHeight="1">
      <c r="A1082" s="196"/>
      <c r="B1082" s="197"/>
      <c r="C1082" s="197"/>
      <c r="D1082" s="124"/>
      <c r="E1082" s="198"/>
      <c r="F1082" s="198"/>
      <c r="G1082" s="197"/>
      <c r="H1082" s="199"/>
      <c r="I1082" s="199"/>
      <c r="J1082" s="197"/>
      <c r="K1082" s="200"/>
      <c r="L1082" s="54"/>
      <c r="M1082" s="201"/>
      <c r="N1082" s="124"/>
      <c r="O1082" s="124"/>
      <c r="P1082" s="202"/>
      <c r="Q1082" s="84"/>
      <c r="R1082" s="190"/>
      <c r="S1082" s="196"/>
    </row>
    <row r="1083" spans="1:19" ht="37.15" customHeight="1">
      <c r="A1083" s="196"/>
      <c r="B1083" s="197"/>
      <c r="C1083" s="197"/>
      <c r="D1083" s="124"/>
      <c r="E1083" s="198"/>
      <c r="F1083" s="198"/>
      <c r="G1083" s="197"/>
      <c r="H1083" s="199"/>
      <c r="I1083" s="199"/>
      <c r="J1083" s="197"/>
      <c r="K1083" s="200"/>
      <c r="L1083" s="54"/>
      <c r="M1083" s="201"/>
      <c r="N1083" s="124"/>
      <c r="O1083" s="124"/>
      <c r="P1083" s="202"/>
      <c r="Q1083" s="84"/>
      <c r="R1083" s="190"/>
      <c r="S1083" s="196"/>
    </row>
    <row r="1084" spans="1:19" ht="37.15" customHeight="1">
      <c r="A1084" s="196"/>
      <c r="B1084" s="197"/>
      <c r="C1084" s="197"/>
      <c r="D1084" s="124"/>
      <c r="E1084" s="198"/>
      <c r="F1084" s="198"/>
      <c r="G1084" s="197"/>
      <c r="H1084" s="199"/>
      <c r="I1084" s="199"/>
      <c r="J1084" s="197"/>
      <c r="K1084" s="200"/>
      <c r="L1084" s="54"/>
      <c r="M1084" s="201"/>
      <c r="N1084" s="124"/>
      <c r="O1084" s="124"/>
      <c r="P1084" s="202"/>
      <c r="Q1084" s="84"/>
      <c r="R1084" s="190"/>
      <c r="S1084" s="196"/>
    </row>
    <row r="1085" spans="1:19" ht="37.15" customHeight="1">
      <c r="A1085" s="196"/>
      <c r="B1085" s="197"/>
      <c r="C1085" s="197"/>
      <c r="D1085" s="124"/>
      <c r="E1085" s="198"/>
      <c r="F1085" s="198"/>
      <c r="G1085" s="197"/>
      <c r="H1085" s="199"/>
      <c r="I1085" s="199"/>
      <c r="J1085" s="197"/>
      <c r="K1085" s="200"/>
      <c r="L1085" s="54"/>
      <c r="M1085" s="201"/>
      <c r="N1085" s="124"/>
      <c r="O1085" s="124"/>
      <c r="P1085" s="202"/>
      <c r="Q1085" s="84"/>
      <c r="R1085" s="190"/>
      <c r="S1085" s="196"/>
    </row>
    <row r="1086" spans="1:19" ht="37.15" customHeight="1">
      <c r="A1086" s="196"/>
      <c r="B1086" s="197"/>
      <c r="C1086" s="197"/>
      <c r="D1086" s="124"/>
      <c r="E1086" s="198"/>
      <c r="F1086" s="198"/>
      <c r="G1086" s="197"/>
      <c r="H1086" s="199"/>
      <c r="I1086" s="199"/>
      <c r="J1086" s="197"/>
      <c r="K1086" s="200"/>
      <c r="L1086" s="54"/>
      <c r="M1086" s="201"/>
      <c r="N1086" s="124"/>
      <c r="O1086" s="124"/>
      <c r="P1086" s="202"/>
      <c r="Q1086" s="84"/>
      <c r="R1086" s="190"/>
      <c r="S1086" s="196"/>
    </row>
    <row r="1087" spans="1:19" ht="37.15" customHeight="1">
      <c r="A1087" s="196"/>
      <c r="B1087" s="197"/>
      <c r="C1087" s="197"/>
      <c r="D1087" s="124"/>
      <c r="E1087" s="198"/>
      <c r="F1087" s="198"/>
      <c r="G1087" s="197"/>
      <c r="H1087" s="199"/>
      <c r="I1087" s="199"/>
      <c r="J1087" s="197"/>
      <c r="K1087" s="200"/>
      <c r="L1087" s="54"/>
      <c r="M1087" s="201"/>
      <c r="N1087" s="124"/>
      <c r="O1087" s="124"/>
      <c r="P1087" s="202"/>
      <c r="Q1087" s="84"/>
      <c r="R1087" s="190"/>
      <c r="S1087" s="196"/>
    </row>
    <row r="1088" spans="1:19" ht="37.15" customHeight="1">
      <c r="A1088" s="196"/>
      <c r="B1088" s="197"/>
      <c r="C1088" s="197"/>
      <c r="D1088" s="124"/>
      <c r="E1088" s="198"/>
      <c r="F1088" s="198"/>
      <c r="G1088" s="197"/>
      <c r="H1088" s="199"/>
      <c r="I1088" s="199"/>
      <c r="J1088" s="197"/>
      <c r="K1088" s="200"/>
      <c r="L1088" s="54"/>
      <c r="M1088" s="201"/>
      <c r="N1088" s="124"/>
      <c r="O1088" s="124"/>
      <c r="P1088" s="202"/>
      <c r="Q1088" s="84"/>
      <c r="R1088" s="190"/>
      <c r="S1088" s="196"/>
    </row>
    <row r="1089" spans="1:19" ht="37.15" customHeight="1">
      <c r="A1089" s="196"/>
      <c r="B1089" s="197"/>
      <c r="C1089" s="197"/>
      <c r="D1089" s="124"/>
      <c r="E1089" s="198"/>
      <c r="F1089" s="198"/>
      <c r="G1089" s="197"/>
      <c r="H1089" s="199"/>
      <c r="I1089" s="199"/>
      <c r="J1089" s="197"/>
      <c r="K1089" s="200"/>
      <c r="L1089" s="54"/>
      <c r="M1089" s="201"/>
      <c r="N1089" s="124"/>
      <c r="O1089" s="124"/>
      <c r="P1089" s="202"/>
      <c r="Q1089" s="84"/>
      <c r="R1089" s="190"/>
      <c r="S1089" s="196"/>
    </row>
    <row r="1090" spans="1:19" ht="37.15" customHeight="1">
      <c r="A1090" s="196"/>
      <c r="B1090" s="197"/>
      <c r="C1090" s="197"/>
      <c r="D1090" s="124"/>
      <c r="E1090" s="198"/>
      <c r="F1090" s="198"/>
      <c r="G1090" s="197"/>
      <c r="H1090" s="199"/>
      <c r="I1090" s="199"/>
      <c r="J1090" s="197"/>
      <c r="K1090" s="200"/>
      <c r="L1090" s="54"/>
      <c r="M1090" s="201"/>
      <c r="N1090" s="124"/>
      <c r="O1090" s="124"/>
      <c r="P1090" s="202"/>
      <c r="Q1090" s="84"/>
      <c r="R1090" s="190"/>
      <c r="S1090" s="196"/>
    </row>
    <row r="1091" spans="1:19" ht="37.15" customHeight="1">
      <c r="A1091" s="196"/>
      <c r="B1091" s="197"/>
      <c r="C1091" s="197"/>
      <c r="D1091" s="124"/>
      <c r="E1091" s="198"/>
      <c r="F1091" s="198"/>
      <c r="G1091" s="197"/>
      <c r="H1091" s="199"/>
      <c r="I1091" s="199"/>
      <c r="J1091" s="197"/>
      <c r="K1091" s="200"/>
      <c r="L1091" s="54"/>
      <c r="M1091" s="201"/>
      <c r="N1091" s="124"/>
      <c r="O1091" s="124"/>
      <c r="P1091" s="202"/>
      <c r="Q1091" s="84"/>
      <c r="R1091" s="190"/>
      <c r="S1091" s="196"/>
    </row>
    <row r="1092" spans="1:19" ht="37.15" customHeight="1">
      <c r="A1092" s="196"/>
      <c r="B1092" s="197"/>
      <c r="C1092" s="197"/>
      <c r="D1092" s="124"/>
      <c r="E1092" s="198"/>
      <c r="F1092" s="198"/>
      <c r="G1092" s="197"/>
      <c r="H1092" s="199"/>
      <c r="I1092" s="199"/>
      <c r="J1092" s="197"/>
      <c r="K1092" s="200"/>
      <c r="L1092" s="54"/>
      <c r="M1092" s="201"/>
      <c r="N1092" s="124"/>
      <c r="O1092" s="124"/>
      <c r="P1092" s="202"/>
      <c r="Q1092" s="84"/>
      <c r="R1092" s="190"/>
      <c r="S1092" s="196"/>
    </row>
    <row r="1093" spans="1:19" ht="37.15" customHeight="1">
      <c r="A1093" s="196"/>
      <c r="B1093" s="197"/>
      <c r="C1093" s="197"/>
      <c r="D1093" s="124"/>
      <c r="E1093" s="198"/>
      <c r="F1093" s="198"/>
      <c r="G1093" s="197"/>
      <c r="H1093" s="199"/>
      <c r="I1093" s="199"/>
      <c r="J1093" s="197"/>
      <c r="K1093" s="200"/>
      <c r="L1093" s="54"/>
      <c r="M1093" s="201"/>
      <c r="N1093" s="124"/>
      <c r="O1093" s="124"/>
      <c r="P1093" s="202"/>
      <c r="Q1093" s="84"/>
      <c r="R1093" s="190"/>
      <c r="S1093" s="196"/>
    </row>
    <row r="1094" spans="1:19" ht="37.15" customHeight="1">
      <c r="A1094" s="196"/>
      <c r="B1094" s="197"/>
      <c r="C1094" s="197"/>
      <c r="D1094" s="124"/>
      <c r="E1094" s="198"/>
      <c r="F1094" s="198"/>
      <c r="G1094" s="197"/>
      <c r="H1094" s="199"/>
      <c r="I1094" s="199"/>
      <c r="J1094" s="197"/>
      <c r="K1094" s="200"/>
      <c r="L1094" s="54"/>
      <c r="M1094" s="201"/>
      <c r="N1094" s="124"/>
      <c r="O1094" s="124"/>
      <c r="P1094" s="202"/>
      <c r="Q1094" s="84"/>
      <c r="R1094" s="190"/>
      <c r="S1094" s="196"/>
    </row>
    <row r="1095" spans="1:19" ht="37.15" customHeight="1">
      <c r="A1095" s="196"/>
      <c r="B1095" s="197"/>
      <c r="C1095" s="197"/>
      <c r="D1095" s="124"/>
      <c r="E1095" s="198"/>
      <c r="F1095" s="198"/>
      <c r="G1095" s="197"/>
      <c r="H1095" s="199"/>
      <c r="I1095" s="199"/>
      <c r="J1095" s="197"/>
      <c r="K1095" s="200"/>
      <c r="L1095" s="54"/>
      <c r="M1095" s="201"/>
      <c r="N1095" s="124"/>
      <c r="O1095" s="124"/>
      <c r="P1095" s="202"/>
      <c r="Q1095" s="84"/>
      <c r="R1095" s="190"/>
      <c r="S1095" s="196"/>
    </row>
    <row r="1096" spans="1:19" ht="37.15" customHeight="1">
      <c r="A1096" s="196"/>
      <c r="B1096" s="197"/>
      <c r="C1096" s="197"/>
      <c r="D1096" s="124"/>
      <c r="E1096" s="198"/>
      <c r="F1096" s="198"/>
      <c r="G1096" s="197"/>
      <c r="H1096" s="199"/>
      <c r="I1096" s="199"/>
      <c r="J1096" s="197"/>
      <c r="K1096" s="200"/>
      <c r="L1096" s="54"/>
      <c r="M1096" s="201"/>
      <c r="N1096" s="124"/>
      <c r="O1096" s="124"/>
      <c r="P1096" s="202"/>
      <c r="Q1096" s="84"/>
      <c r="R1096" s="190"/>
      <c r="S1096" s="196"/>
    </row>
    <row r="1097" spans="1:19" ht="37.15" customHeight="1">
      <c r="A1097" s="196"/>
      <c r="B1097" s="197"/>
      <c r="C1097" s="197"/>
      <c r="D1097" s="124"/>
      <c r="E1097" s="198"/>
      <c r="F1097" s="198"/>
      <c r="G1097" s="197"/>
      <c r="H1097" s="199"/>
      <c r="I1097" s="199"/>
      <c r="J1097" s="197"/>
      <c r="K1097" s="200"/>
      <c r="L1097" s="54"/>
      <c r="M1097" s="201"/>
      <c r="N1097" s="124"/>
      <c r="O1097" s="124"/>
      <c r="P1097" s="202"/>
      <c r="Q1097" s="84"/>
      <c r="R1097" s="190"/>
      <c r="S1097" s="196"/>
    </row>
    <row r="1098" spans="1:19" ht="37.15" customHeight="1">
      <c r="A1098" s="196"/>
      <c r="B1098" s="197"/>
      <c r="C1098" s="197"/>
      <c r="D1098" s="124"/>
      <c r="E1098" s="198"/>
      <c r="F1098" s="198"/>
      <c r="G1098" s="197"/>
      <c r="H1098" s="199"/>
      <c r="I1098" s="199"/>
      <c r="J1098" s="197"/>
      <c r="K1098" s="200"/>
      <c r="L1098" s="54"/>
      <c r="M1098" s="201"/>
      <c r="N1098" s="124"/>
      <c r="O1098" s="124"/>
      <c r="P1098" s="202"/>
      <c r="Q1098" s="84"/>
      <c r="R1098" s="190"/>
      <c r="S1098" s="196"/>
    </row>
    <row r="1099" spans="1:19" ht="37.15" customHeight="1">
      <c r="A1099" s="196"/>
      <c r="B1099" s="197"/>
      <c r="C1099" s="197"/>
      <c r="D1099" s="124"/>
      <c r="E1099" s="198"/>
      <c r="F1099" s="198"/>
      <c r="G1099" s="197"/>
      <c r="H1099" s="199"/>
      <c r="I1099" s="199"/>
      <c r="J1099" s="197"/>
      <c r="K1099" s="200"/>
      <c r="L1099" s="54"/>
      <c r="M1099" s="201"/>
      <c r="N1099" s="124"/>
      <c r="O1099" s="124"/>
      <c r="P1099" s="202"/>
      <c r="Q1099" s="84"/>
      <c r="R1099" s="190"/>
      <c r="S1099" s="196"/>
    </row>
    <row r="1100" spans="1:19" ht="37.15" customHeight="1">
      <c r="A1100" s="196"/>
      <c r="B1100" s="197"/>
      <c r="C1100" s="197"/>
      <c r="D1100" s="124"/>
      <c r="E1100" s="198"/>
      <c r="F1100" s="198"/>
      <c r="G1100" s="197"/>
      <c r="H1100" s="199"/>
      <c r="I1100" s="199"/>
      <c r="J1100" s="197"/>
      <c r="K1100" s="200"/>
      <c r="L1100" s="54"/>
      <c r="M1100" s="201"/>
      <c r="N1100" s="124"/>
      <c r="O1100" s="124"/>
      <c r="P1100" s="202"/>
      <c r="Q1100" s="84"/>
      <c r="R1100" s="190"/>
      <c r="S1100" s="196"/>
    </row>
    <row r="1101" spans="1:19" ht="37.15" customHeight="1">
      <c r="A1101" s="196"/>
      <c r="B1101" s="197"/>
      <c r="C1101" s="197"/>
      <c r="D1101" s="124"/>
      <c r="E1101" s="198"/>
      <c r="F1101" s="198"/>
      <c r="G1101" s="197"/>
      <c r="H1101" s="199"/>
      <c r="I1101" s="199"/>
      <c r="J1101" s="197"/>
      <c r="K1101" s="200"/>
      <c r="L1101" s="54"/>
      <c r="M1101" s="201"/>
      <c r="N1101" s="124"/>
      <c r="O1101" s="124"/>
      <c r="P1101" s="202"/>
      <c r="Q1101" s="84"/>
      <c r="R1101" s="190"/>
      <c r="S1101" s="196"/>
    </row>
    <row r="1102" spans="1:19" ht="37.15" customHeight="1">
      <c r="A1102" s="196"/>
      <c r="B1102" s="197"/>
      <c r="C1102" s="197"/>
      <c r="D1102" s="124"/>
      <c r="E1102" s="198"/>
      <c r="F1102" s="198"/>
      <c r="G1102" s="197"/>
      <c r="H1102" s="199"/>
      <c r="I1102" s="199"/>
      <c r="J1102" s="197"/>
      <c r="K1102" s="200"/>
      <c r="L1102" s="54"/>
      <c r="M1102" s="201"/>
      <c r="N1102" s="124"/>
      <c r="O1102" s="124"/>
      <c r="P1102" s="202"/>
      <c r="Q1102" s="84"/>
      <c r="R1102" s="190"/>
      <c r="S1102" s="196"/>
    </row>
    <row r="1103" spans="1:19" ht="37.15" customHeight="1">
      <c r="A1103" s="196"/>
      <c r="B1103" s="197"/>
      <c r="C1103" s="197"/>
      <c r="D1103" s="124"/>
      <c r="E1103" s="198"/>
      <c r="F1103" s="198"/>
      <c r="G1103" s="197"/>
      <c r="H1103" s="199"/>
      <c r="I1103" s="199"/>
      <c r="J1103" s="197"/>
      <c r="K1103" s="200"/>
      <c r="L1103" s="54"/>
      <c r="M1103" s="201"/>
      <c r="N1103" s="124"/>
      <c r="O1103" s="124"/>
      <c r="P1103" s="202"/>
      <c r="Q1103" s="84"/>
      <c r="R1103" s="190"/>
      <c r="S1103" s="196"/>
    </row>
    <row r="1104" spans="1:19" ht="37.15" customHeight="1">
      <c r="A1104" s="196"/>
      <c r="B1104" s="197"/>
      <c r="C1104" s="197"/>
      <c r="D1104" s="124"/>
      <c r="E1104" s="198"/>
      <c r="F1104" s="198"/>
      <c r="G1104" s="197"/>
      <c r="H1104" s="199"/>
      <c r="I1104" s="199"/>
      <c r="J1104" s="197"/>
      <c r="K1104" s="200"/>
      <c r="L1104" s="54"/>
      <c r="M1104" s="201"/>
      <c r="N1104" s="124"/>
      <c r="O1104" s="124"/>
      <c r="P1104" s="202"/>
      <c r="Q1104" s="84"/>
      <c r="R1104" s="190"/>
      <c r="S1104" s="196"/>
    </row>
    <row r="1105" spans="1:19" ht="37.15" customHeight="1">
      <c r="A1105" s="196"/>
      <c r="B1105" s="197"/>
      <c r="C1105" s="197"/>
      <c r="D1105" s="124"/>
      <c r="E1105" s="198"/>
      <c r="F1105" s="198"/>
      <c r="G1105" s="197"/>
      <c r="H1105" s="199"/>
      <c r="I1105" s="199"/>
      <c r="J1105" s="197"/>
      <c r="K1105" s="200"/>
      <c r="L1105" s="54"/>
      <c r="M1105" s="201"/>
      <c r="N1105" s="124"/>
      <c r="O1105" s="124"/>
      <c r="P1105" s="202"/>
      <c r="Q1105" s="84"/>
      <c r="R1105" s="190"/>
      <c r="S1105" s="196"/>
    </row>
    <row r="1106" spans="1:19" ht="37.15" customHeight="1">
      <c r="A1106" s="196"/>
      <c r="B1106" s="197"/>
      <c r="C1106" s="197"/>
      <c r="D1106" s="124"/>
      <c r="E1106" s="198"/>
      <c r="F1106" s="198"/>
      <c r="G1106" s="197"/>
      <c r="H1106" s="199"/>
      <c r="I1106" s="199"/>
      <c r="J1106" s="197"/>
      <c r="K1106" s="200"/>
      <c r="L1106" s="54"/>
      <c r="M1106" s="201"/>
      <c r="N1106" s="124"/>
      <c r="O1106" s="124"/>
      <c r="P1106" s="202"/>
      <c r="Q1106" s="84"/>
      <c r="R1106" s="190"/>
      <c r="S1106" s="196"/>
    </row>
    <row r="1107" spans="1:19" ht="37.15" customHeight="1">
      <c r="A1107" s="196"/>
      <c r="B1107" s="197"/>
      <c r="C1107" s="197"/>
      <c r="D1107" s="124"/>
      <c r="E1107" s="198"/>
      <c r="F1107" s="198"/>
      <c r="G1107" s="197"/>
      <c r="H1107" s="199"/>
      <c r="I1107" s="199"/>
      <c r="J1107" s="197"/>
      <c r="K1107" s="200"/>
      <c r="L1107" s="54"/>
      <c r="M1107" s="201"/>
      <c r="N1107" s="124"/>
      <c r="O1107" s="124"/>
      <c r="P1107" s="202"/>
      <c r="Q1107" s="84"/>
      <c r="R1107" s="190"/>
      <c r="S1107" s="196"/>
    </row>
    <row r="1108" spans="1:19" ht="37.15" customHeight="1">
      <c r="A1108" s="196"/>
      <c r="B1108" s="197"/>
      <c r="C1108" s="197"/>
      <c r="D1108" s="124"/>
      <c r="E1108" s="198"/>
      <c r="F1108" s="198"/>
      <c r="G1108" s="197"/>
      <c r="H1108" s="199"/>
      <c r="I1108" s="199"/>
      <c r="J1108" s="197"/>
      <c r="K1108" s="200"/>
      <c r="L1108" s="54"/>
      <c r="M1108" s="201"/>
      <c r="N1108" s="124"/>
      <c r="O1108" s="124"/>
      <c r="P1108" s="202"/>
      <c r="Q1108" s="84"/>
      <c r="R1108" s="190"/>
      <c r="S1108" s="196"/>
    </row>
    <row r="1109" spans="1:19" ht="37.15" customHeight="1">
      <c r="A1109" s="196"/>
      <c r="B1109" s="197"/>
      <c r="C1109" s="197"/>
      <c r="D1109" s="124"/>
      <c r="E1109" s="198"/>
      <c r="F1109" s="198"/>
      <c r="G1109" s="197"/>
      <c r="H1109" s="199"/>
      <c r="I1109" s="199"/>
      <c r="J1109" s="197"/>
      <c r="K1109" s="200"/>
      <c r="L1109" s="54"/>
      <c r="M1109" s="201"/>
      <c r="N1109" s="124"/>
      <c r="O1109" s="124"/>
      <c r="P1109" s="202"/>
      <c r="Q1109" s="84"/>
      <c r="R1109" s="190"/>
      <c r="S1109" s="196"/>
    </row>
    <row r="1110" spans="1:19" ht="37.15" customHeight="1">
      <c r="A1110" s="196"/>
      <c r="B1110" s="197"/>
      <c r="C1110" s="197"/>
      <c r="D1110" s="124"/>
      <c r="E1110" s="198"/>
      <c r="F1110" s="198"/>
      <c r="G1110" s="197"/>
      <c r="H1110" s="199"/>
      <c r="I1110" s="199"/>
      <c r="J1110" s="197"/>
      <c r="K1110" s="200"/>
      <c r="L1110" s="54"/>
      <c r="M1110" s="201"/>
      <c r="N1110" s="124"/>
      <c r="O1110" s="124"/>
      <c r="P1110" s="202"/>
      <c r="Q1110" s="84"/>
      <c r="R1110" s="190"/>
      <c r="S1110" s="196"/>
    </row>
    <row r="1111" spans="1:19" ht="37.15" customHeight="1">
      <c r="A1111" s="196"/>
      <c r="B1111" s="197"/>
      <c r="C1111" s="197"/>
      <c r="D1111" s="124"/>
      <c r="E1111" s="198"/>
      <c r="F1111" s="198"/>
      <c r="G1111" s="197"/>
      <c r="H1111" s="199"/>
      <c r="I1111" s="199"/>
      <c r="J1111" s="197"/>
      <c r="K1111" s="200"/>
      <c r="L1111" s="54"/>
      <c r="M1111" s="201"/>
      <c r="N1111" s="124"/>
      <c r="O1111" s="124"/>
      <c r="P1111" s="202"/>
      <c r="Q1111" s="84"/>
      <c r="R1111" s="190"/>
      <c r="S1111" s="196"/>
    </row>
    <row r="1112" spans="1:19" ht="37.15" customHeight="1">
      <c r="A1112" s="196"/>
      <c r="B1112" s="197"/>
      <c r="C1112" s="197"/>
      <c r="D1112" s="124"/>
      <c r="E1112" s="198"/>
      <c r="F1112" s="198"/>
      <c r="G1112" s="197"/>
      <c r="H1112" s="199"/>
      <c r="I1112" s="199"/>
      <c r="J1112" s="197"/>
      <c r="K1112" s="200"/>
      <c r="L1112" s="54"/>
      <c r="M1112" s="201"/>
      <c r="N1112" s="124"/>
      <c r="O1112" s="124"/>
      <c r="P1112" s="202"/>
      <c r="Q1112" s="84"/>
      <c r="R1112" s="190"/>
      <c r="S1112" s="196"/>
    </row>
    <row r="1113" spans="1:19" ht="37.15" customHeight="1">
      <c r="A1113" s="196"/>
      <c r="B1113" s="197"/>
      <c r="C1113" s="197"/>
      <c r="D1113" s="124"/>
      <c r="E1113" s="198"/>
      <c r="F1113" s="198"/>
      <c r="G1113" s="197"/>
      <c r="H1113" s="199"/>
      <c r="I1113" s="199"/>
      <c r="J1113" s="197"/>
      <c r="K1113" s="200"/>
      <c r="L1113" s="54"/>
      <c r="M1113" s="201"/>
      <c r="N1113" s="124"/>
      <c r="O1113" s="124"/>
      <c r="P1113" s="202"/>
      <c r="Q1113" s="84"/>
      <c r="R1113" s="190"/>
      <c r="S1113" s="196"/>
    </row>
    <row r="1114" spans="1:19" ht="37.15" customHeight="1">
      <c r="A1114" s="196"/>
      <c r="B1114" s="197"/>
      <c r="C1114" s="197"/>
      <c r="D1114" s="124"/>
      <c r="E1114" s="198"/>
      <c r="F1114" s="198"/>
      <c r="G1114" s="197"/>
      <c r="H1114" s="199"/>
      <c r="I1114" s="199"/>
      <c r="J1114" s="197"/>
      <c r="K1114" s="200"/>
      <c r="L1114" s="54"/>
      <c r="M1114" s="201"/>
      <c r="N1114" s="124"/>
      <c r="O1114" s="124"/>
      <c r="P1114" s="202"/>
      <c r="Q1114" s="84"/>
      <c r="R1114" s="190"/>
      <c r="S1114" s="196"/>
    </row>
    <row r="1115" spans="1:19" ht="37.15" customHeight="1">
      <c r="A1115" s="196"/>
      <c r="B1115" s="197"/>
      <c r="C1115" s="197"/>
      <c r="D1115" s="124"/>
      <c r="E1115" s="198"/>
      <c r="F1115" s="198"/>
      <c r="G1115" s="197"/>
      <c r="H1115" s="199"/>
      <c r="I1115" s="199"/>
      <c r="J1115" s="197"/>
      <c r="K1115" s="200"/>
      <c r="L1115" s="54"/>
      <c r="M1115" s="201"/>
      <c r="N1115" s="124"/>
      <c r="O1115" s="124"/>
      <c r="P1115" s="202"/>
      <c r="Q1115" s="84"/>
      <c r="R1115" s="190"/>
      <c r="S1115" s="196"/>
    </row>
    <row r="1116" spans="1:19" ht="37.15" customHeight="1">
      <c r="A1116" s="196"/>
      <c r="B1116" s="197"/>
      <c r="C1116" s="197"/>
      <c r="D1116" s="124"/>
      <c r="E1116" s="198"/>
      <c r="F1116" s="198"/>
      <c r="G1116" s="197"/>
      <c r="H1116" s="199"/>
      <c r="I1116" s="199"/>
      <c r="J1116" s="197"/>
      <c r="K1116" s="200"/>
      <c r="L1116" s="54"/>
      <c r="M1116" s="201"/>
      <c r="N1116" s="124"/>
      <c r="O1116" s="124"/>
      <c r="P1116" s="202"/>
      <c r="Q1116" s="84"/>
      <c r="R1116" s="190"/>
      <c r="S1116" s="196"/>
    </row>
    <row r="1117" spans="1:19" ht="37.15" customHeight="1">
      <c r="A1117" s="196"/>
      <c r="B1117" s="197"/>
      <c r="C1117" s="197"/>
      <c r="D1117" s="124"/>
      <c r="E1117" s="198"/>
      <c r="F1117" s="198"/>
      <c r="G1117" s="197"/>
      <c r="H1117" s="199"/>
      <c r="I1117" s="199"/>
      <c r="J1117" s="197"/>
      <c r="K1117" s="200"/>
      <c r="L1117" s="54"/>
      <c r="M1117" s="201"/>
      <c r="N1117" s="124"/>
      <c r="O1117" s="124"/>
      <c r="P1117" s="202"/>
      <c r="Q1117" s="84"/>
      <c r="R1117" s="190"/>
      <c r="S1117" s="196"/>
    </row>
    <row r="1118" spans="1:19" ht="37.15" customHeight="1">
      <c r="A1118" s="196"/>
      <c r="B1118" s="197"/>
      <c r="C1118" s="197"/>
      <c r="D1118" s="124"/>
      <c r="E1118" s="198"/>
      <c r="F1118" s="198"/>
      <c r="G1118" s="197"/>
      <c r="H1118" s="199"/>
      <c r="I1118" s="199"/>
      <c r="J1118" s="197"/>
      <c r="K1118" s="200"/>
      <c r="L1118" s="54"/>
      <c r="M1118" s="201"/>
      <c r="N1118" s="124"/>
      <c r="O1118" s="124"/>
      <c r="P1118" s="202"/>
      <c r="Q1118" s="84"/>
      <c r="R1118" s="190"/>
      <c r="S1118" s="196"/>
    </row>
    <row r="1119" spans="1:19" ht="37.15" customHeight="1">
      <c r="A1119" s="196"/>
      <c r="B1119" s="197"/>
      <c r="C1119" s="197"/>
      <c r="D1119" s="124"/>
      <c r="E1119" s="198"/>
      <c r="F1119" s="198"/>
      <c r="G1119" s="197"/>
      <c r="H1119" s="199"/>
      <c r="I1119" s="199"/>
      <c r="J1119" s="197"/>
      <c r="K1119" s="200"/>
      <c r="L1119" s="54"/>
      <c r="M1119" s="201"/>
      <c r="N1119" s="124"/>
      <c r="O1119" s="124"/>
      <c r="P1119" s="202"/>
      <c r="Q1119" s="84"/>
      <c r="R1119" s="190"/>
      <c r="S1119" s="196"/>
    </row>
    <row r="1120" spans="1:19" ht="37.15" customHeight="1">
      <c r="A1120" s="196"/>
      <c r="B1120" s="197"/>
      <c r="C1120" s="197"/>
      <c r="D1120" s="124"/>
      <c r="E1120" s="198"/>
      <c r="F1120" s="198"/>
      <c r="G1120" s="197"/>
      <c r="H1120" s="199"/>
      <c r="I1120" s="199"/>
      <c r="J1120" s="197"/>
      <c r="K1120" s="200"/>
      <c r="L1120" s="54"/>
      <c r="M1120" s="201"/>
      <c r="N1120" s="124"/>
      <c r="O1120" s="124"/>
      <c r="P1120" s="202"/>
      <c r="Q1120" s="84"/>
      <c r="R1120" s="190"/>
      <c r="S1120" s="196"/>
    </row>
    <row r="1121" spans="1:19" ht="37.15" customHeight="1">
      <c r="A1121" s="196"/>
      <c r="B1121" s="197"/>
      <c r="C1121" s="197"/>
      <c r="D1121" s="124"/>
      <c r="E1121" s="198"/>
      <c r="F1121" s="198"/>
      <c r="G1121" s="197"/>
      <c r="H1121" s="199"/>
      <c r="I1121" s="199"/>
      <c r="J1121" s="197"/>
      <c r="K1121" s="200"/>
      <c r="L1121" s="54"/>
      <c r="M1121" s="201"/>
      <c r="N1121" s="124"/>
      <c r="O1121" s="124"/>
      <c r="P1121" s="202"/>
      <c r="Q1121" s="84"/>
      <c r="R1121" s="190"/>
      <c r="S1121" s="196"/>
    </row>
    <row r="1122" spans="1:19" ht="37.15" customHeight="1">
      <c r="A1122" s="196"/>
      <c r="B1122" s="197"/>
      <c r="C1122" s="197"/>
      <c r="D1122" s="124"/>
      <c r="E1122" s="198"/>
      <c r="F1122" s="198"/>
      <c r="G1122" s="197"/>
      <c r="H1122" s="199"/>
      <c r="I1122" s="199"/>
      <c r="J1122" s="197"/>
      <c r="K1122" s="200"/>
      <c r="L1122" s="54"/>
      <c r="M1122" s="201"/>
      <c r="N1122" s="124"/>
      <c r="O1122" s="124"/>
      <c r="P1122" s="202"/>
      <c r="Q1122" s="84"/>
      <c r="R1122" s="190"/>
      <c r="S1122" s="196"/>
    </row>
    <row r="1123" spans="1:19" ht="37.15" customHeight="1">
      <c r="A1123" s="196"/>
      <c r="B1123" s="197"/>
      <c r="C1123" s="197"/>
      <c r="D1123" s="124"/>
      <c r="E1123" s="198"/>
      <c r="F1123" s="198"/>
      <c r="G1123" s="197"/>
      <c r="H1123" s="199"/>
      <c r="I1123" s="199"/>
      <c r="J1123" s="197"/>
      <c r="K1123" s="200"/>
      <c r="L1123" s="54"/>
      <c r="M1123" s="201"/>
      <c r="N1123" s="124"/>
      <c r="O1123" s="124"/>
      <c r="P1123" s="202"/>
      <c r="Q1123" s="84"/>
      <c r="R1123" s="190"/>
      <c r="S1123" s="196"/>
    </row>
    <row r="1124" spans="1:19" ht="37.15" customHeight="1">
      <c r="A1124" s="196"/>
      <c r="B1124" s="197"/>
      <c r="C1124" s="197"/>
      <c r="D1124" s="124"/>
      <c r="E1124" s="198"/>
      <c r="F1124" s="198"/>
      <c r="G1124" s="197"/>
      <c r="H1124" s="199"/>
      <c r="I1124" s="199"/>
      <c r="J1124" s="197"/>
      <c r="K1124" s="200"/>
      <c r="L1124" s="54"/>
      <c r="M1124" s="201"/>
      <c r="N1124" s="124"/>
      <c r="O1124" s="124"/>
      <c r="P1124" s="202"/>
      <c r="Q1124" s="84"/>
      <c r="R1124" s="190"/>
      <c r="S1124" s="196"/>
    </row>
    <row r="1125" spans="1:19" ht="37.15" customHeight="1">
      <c r="A1125" s="196"/>
      <c r="B1125" s="197"/>
      <c r="C1125" s="197"/>
      <c r="D1125" s="124"/>
      <c r="E1125" s="198"/>
      <c r="F1125" s="198"/>
      <c r="G1125" s="197"/>
      <c r="H1125" s="199"/>
      <c r="I1125" s="199"/>
      <c r="J1125" s="197"/>
      <c r="K1125" s="200"/>
      <c r="L1125" s="54"/>
      <c r="M1125" s="201"/>
      <c r="N1125" s="124"/>
      <c r="O1125" s="124"/>
      <c r="P1125" s="202"/>
      <c r="Q1125" s="84"/>
      <c r="R1125" s="190"/>
      <c r="S1125" s="196"/>
    </row>
    <row r="1126" spans="1:19" ht="37.15" customHeight="1">
      <c r="A1126" s="196"/>
      <c r="B1126" s="197"/>
      <c r="C1126" s="197"/>
      <c r="D1126" s="124"/>
      <c r="E1126" s="198"/>
      <c r="F1126" s="198"/>
      <c r="G1126" s="197"/>
      <c r="H1126" s="199"/>
      <c r="I1126" s="199"/>
      <c r="J1126" s="197"/>
      <c r="K1126" s="200"/>
      <c r="L1126" s="54"/>
      <c r="M1126" s="201"/>
      <c r="N1126" s="124"/>
      <c r="O1126" s="124"/>
      <c r="P1126" s="202"/>
      <c r="Q1126" s="84"/>
      <c r="R1126" s="190"/>
      <c r="S1126" s="196"/>
    </row>
    <row r="1127" spans="1:19" ht="37.15" customHeight="1">
      <c r="A1127" s="196"/>
      <c r="B1127" s="197"/>
      <c r="C1127" s="197"/>
      <c r="D1127" s="124"/>
      <c r="E1127" s="198"/>
      <c r="F1127" s="198"/>
      <c r="G1127" s="197"/>
      <c r="H1127" s="199"/>
      <c r="I1127" s="199"/>
      <c r="J1127" s="197"/>
      <c r="K1127" s="200"/>
      <c r="L1127" s="54"/>
      <c r="M1127" s="201"/>
      <c r="N1127" s="124"/>
      <c r="O1127" s="124"/>
      <c r="P1127" s="202"/>
      <c r="Q1127" s="84"/>
      <c r="R1127" s="190"/>
      <c r="S1127" s="196"/>
    </row>
    <row r="1128" spans="1:19" ht="37.15" customHeight="1">
      <c r="A1128" s="196"/>
      <c r="B1128" s="197"/>
      <c r="C1128" s="197"/>
      <c r="D1128" s="124"/>
      <c r="E1128" s="198"/>
      <c r="F1128" s="198"/>
      <c r="G1128" s="197"/>
      <c r="H1128" s="199"/>
      <c r="I1128" s="199"/>
      <c r="J1128" s="197"/>
      <c r="K1128" s="200"/>
      <c r="L1128" s="54"/>
      <c r="M1128" s="201"/>
      <c r="N1128" s="124"/>
      <c r="O1128" s="124"/>
      <c r="P1128" s="202"/>
      <c r="Q1128" s="84"/>
      <c r="R1128" s="190"/>
      <c r="S1128" s="196"/>
    </row>
    <row r="1129" spans="1:19" ht="37.15" customHeight="1">
      <c r="A1129" s="196"/>
      <c r="B1129" s="197"/>
      <c r="C1129" s="197"/>
      <c r="D1129" s="124"/>
      <c r="E1129" s="198"/>
      <c r="F1129" s="198"/>
      <c r="G1129" s="197"/>
      <c r="H1129" s="199"/>
      <c r="I1129" s="199"/>
      <c r="J1129" s="197"/>
      <c r="K1129" s="200"/>
      <c r="L1129" s="54"/>
      <c r="M1129" s="201"/>
      <c r="N1129" s="124"/>
      <c r="O1129" s="124"/>
      <c r="P1129" s="202"/>
      <c r="Q1129" s="84"/>
      <c r="R1129" s="190"/>
      <c r="S1129" s="196"/>
    </row>
    <row r="1130" spans="1:19" ht="37.15" customHeight="1">
      <c r="A1130" s="196"/>
      <c r="B1130" s="197"/>
      <c r="C1130" s="197"/>
      <c r="D1130" s="124"/>
      <c r="E1130" s="198"/>
      <c r="F1130" s="198"/>
      <c r="G1130" s="197"/>
      <c r="H1130" s="199"/>
      <c r="I1130" s="199"/>
      <c r="J1130" s="197"/>
      <c r="K1130" s="200"/>
      <c r="L1130" s="54"/>
      <c r="M1130" s="201"/>
      <c r="N1130" s="124"/>
      <c r="O1130" s="124"/>
      <c r="P1130" s="202"/>
      <c r="Q1130" s="84"/>
      <c r="R1130" s="190"/>
      <c r="S1130" s="196"/>
    </row>
    <row r="1131" spans="1:19" ht="37.15" customHeight="1">
      <c r="A1131" s="196"/>
      <c r="B1131" s="197"/>
      <c r="C1131" s="197"/>
      <c r="D1131" s="124"/>
      <c r="E1131" s="198"/>
      <c r="F1131" s="198"/>
      <c r="G1131" s="197"/>
      <c r="H1131" s="199"/>
      <c r="I1131" s="199"/>
      <c r="J1131" s="197"/>
      <c r="K1131" s="200"/>
      <c r="L1131" s="54"/>
      <c r="M1131" s="201"/>
      <c r="N1131" s="124"/>
      <c r="O1131" s="124"/>
      <c r="P1131" s="202"/>
      <c r="Q1131" s="84"/>
      <c r="R1131" s="190"/>
      <c r="S1131" s="196"/>
    </row>
    <row r="1132" spans="1:19" ht="37.15" customHeight="1">
      <c r="A1132" s="196"/>
      <c r="B1132" s="197"/>
      <c r="C1132" s="197"/>
      <c r="D1132" s="124"/>
      <c r="E1132" s="198"/>
      <c r="F1132" s="198"/>
      <c r="G1132" s="197"/>
      <c r="H1132" s="199"/>
      <c r="I1132" s="199"/>
      <c r="J1132" s="197"/>
      <c r="K1132" s="200"/>
      <c r="L1132" s="54"/>
      <c r="M1132" s="201"/>
      <c r="N1132" s="124"/>
      <c r="O1132" s="124"/>
      <c r="P1132" s="202"/>
      <c r="Q1132" s="84"/>
      <c r="R1132" s="190"/>
      <c r="S1132" s="196"/>
    </row>
    <row r="1133" spans="1:19" ht="37.15" customHeight="1">
      <c r="A1133" s="196"/>
      <c r="B1133" s="197"/>
      <c r="C1133" s="197"/>
      <c r="D1133" s="124"/>
      <c r="E1133" s="198"/>
      <c r="F1133" s="198"/>
      <c r="G1133" s="197"/>
      <c r="H1133" s="199"/>
      <c r="I1133" s="199"/>
      <c r="J1133" s="197"/>
      <c r="K1133" s="200"/>
      <c r="L1133" s="54"/>
      <c r="M1133" s="201"/>
      <c r="N1133" s="124"/>
      <c r="O1133" s="124"/>
      <c r="P1133" s="202"/>
      <c r="Q1133" s="84"/>
      <c r="R1133" s="190"/>
      <c r="S1133" s="196"/>
    </row>
    <row r="1134" spans="1:19" ht="37.15" customHeight="1">
      <c r="A1134" s="196"/>
      <c r="B1134" s="197"/>
      <c r="C1134" s="197"/>
      <c r="D1134" s="124"/>
      <c r="E1134" s="198"/>
      <c r="F1134" s="198"/>
      <c r="G1134" s="197"/>
      <c r="H1134" s="199"/>
      <c r="I1134" s="199"/>
      <c r="J1134" s="197"/>
      <c r="K1134" s="200"/>
      <c r="L1134" s="54"/>
      <c r="M1134" s="201"/>
      <c r="N1134" s="124"/>
      <c r="O1134" s="124"/>
      <c r="P1134" s="202"/>
      <c r="Q1134" s="84"/>
      <c r="R1134" s="190"/>
      <c r="S1134" s="196"/>
    </row>
    <row r="1135" spans="1:19" ht="37.15" customHeight="1">
      <c r="A1135" s="196"/>
      <c r="B1135" s="197"/>
      <c r="C1135" s="197"/>
      <c r="D1135" s="124"/>
      <c r="E1135" s="198"/>
      <c r="F1135" s="198"/>
      <c r="G1135" s="197"/>
      <c r="H1135" s="199"/>
      <c r="I1135" s="199"/>
      <c r="J1135" s="197"/>
      <c r="K1135" s="200"/>
      <c r="L1135" s="54"/>
      <c r="M1135" s="201"/>
      <c r="N1135" s="124"/>
      <c r="O1135" s="124"/>
      <c r="P1135" s="202"/>
      <c r="Q1135" s="84"/>
      <c r="R1135" s="190"/>
      <c r="S1135" s="196"/>
    </row>
    <row r="1136" spans="1:19" ht="37.15" customHeight="1">
      <c r="A1136" s="196"/>
      <c r="B1136" s="197"/>
      <c r="C1136" s="197"/>
      <c r="D1136" s="124"/>
      <c r="E1136" s="198"/>
      <c r="F1136" s="198"/>
      <c r="G1136" s="197"/>
      <c r="H1136" s="199"/>
      <c r="I1136" s="199"/>
      <c r="J1136" s="197"/>
      <c r="K1136" s="200"/>
      <c r="L1136" s="54"/>
      <c r="M1136" s="201"/>
      <c r="N1136" s="124"/>
      <c r="O1136" s="124"/>
      <c r="P1136" s="202"/>
      <c r="Q1136" s="84"/>
      <c r="R1136" s="190"/>
      <c r="S1136" s="196"/>
    </row>
    <row r="1137" spans="1:19" ht="37.15" customHeight="1">
      <c r="A1137" s="196"/>
      <c r="B1137" s="197"/>
      <c r="C1137" s="197"/>
      <c r="D1137" s="124"/>
      <c r="E1137" s="198"/>
      <c r="F1137" s="198"/>
      <c r="G1137" s="197"/>
      <c r="H1137" s="199"/>
      <c r="I1137" s="199"/>
      <c r="J1137" s="197"/>
      <c r="K1137" s="200"/>
      <c r="L1137" s="54"/>
      <c r="M1137" s="201"/>
      <c r="N1137" s="124"/>
      <c r="O1137" s="124"/>
      <c r="P1137" s="202"/>
      <c r="Q1137" s="84"/>
      <c r="R1137" s="190"/>
      <c r="S1137" s="196"/>
    </row>
    <row r="1138" spans="1:19" ht="37.15" customHeight="1">
      <c r="A1138" s="196"/>
      <c r="B1138" s="197"/>
      <c r="C1138" s="197"/>
      <c r="D1138" s="124"/>
      <c r="E1138" s="198"/>
      <c r="F1138" s="198"/>
      <c r="G1138" s="197"/>
      <c r="H1138" s="199"/>
      <c r="I1138" s="199"/>
      <c r="J1138" s="197"/>
      <c r="K1138" s="200"/>
      <c r="L1138" s="54"/>
      <c r="M1138" s="201"/>
      <c r="N1138" s="124"/>
      <c r="O1138" s="124"/>
      <c r="P1138" s="202"/>
      <c r="Q1138" s="84"/>
      <c r="R1138" s="190"/>
      <c r="S1138" s="196"/>
    </row>
    <row r="1139" spans="1:19" ht="37.15" customHeight="1">
      <c r="A1139" s="196"/>
      <c r="B1139" s="197"/>
      <c r="C1139" s="197"/>
      <c r="D1139" s="124"/>
      <c r="E1139" s="198"/>
      <c r="F1139" s="198"/>
      <c r="G1139" s="197"/>
      <c r="H1139" s="199"/>
      <c r="I1139" s="199"/>
      <c r="J1139" s="197"/>
      <c r="K1139" s="200"/>
      <c r="L1139" s="54"/>
      <c r="M1139" s="201"/>
      <c r="N1139" s="124"/>
      <c r="O1139" s="124"/>
      <c r="P1139" s="202"/>
      <c r="Q1139" s="84"/>
      <c r="R1139" s="190"/>
      <c r="S1139" s="196"/>
    </row>
    <row r="1140" spans="1:19" ht="37.15" customHeight="1">
      <c r="A1140" s="196"/>
      <c r="B1140" s="197"/>
      <c r="C1140" s="197"/>
      <c r="D1140" s="124"/>
      <c r="E1140" s="198"/>
      <c r="F1140" s="198"/>
      <c r="G1140" s="197"/>
      <c r="H1140" s="199"/>
      <c r="I1140" s="199"/>
      <c r="J1140" s="197"/>
      <c r="K1140" s="200"/>
      <c r="L1140" s="54"/>
      <c r="M1140" s="201"/>
      <c r="N1140" s="124"/>
      <c r="O1140" s="124"/>
      <c r="P1140" s="202"/>
      <c r="Q1140" s="84"/>
      <c r="R1140" s="190"/>
      <c r="S1140" s="196"/>
    </row>
    <row r="1141" spans="1:19" ht="37.15" customHeight="1">
      <c r="A1141" s="196"/>
      <c r="B1141" s="197"/>
      <c r="C1141" s="197"/>
      <c r="D1141" s="124"/>
      <c r="E1141" s="198"/>
      <c r="F1141" s="198"/>
      <c r="G1141" s="197"/>
      <c r="H1141" s="199"/>
      <c r="I1141" s="199"/>
      <c r="J1141" s="197"/>
      <c r="K1141" s="200"/>
      <c r="L1141" s="54"/>
      <c r="M1141" s="201"/>
      <c r="N1141" s="124"/>
      <c r="O1141" s="124"/>
      <c r="P1141" s="202"/>
      <c r="Q1141" s="84"/>
      <c r="R1141" s="190"/>
      <c r="S1141" s="196"/>
    </row>
    <row r="1142" spans="1:19" ht="37.15" customHeight="1">
      <c r="A1142" s="196"/>
      <c r="B1142" s="197"/>
      <c r="C1142" s="197"/>
      <c r="D1142" s="124"/>
      <c r="E1142" s="198"/>
      <c r="F1142" s="198"/>
      <c r="G1142" s="197"/>
      <c r="H1142" s="199"/>
      <c r="I1142" s="199"/>
      <c r="J1142" s="197"/>
      <c r="K1142" s="200"/>
      <c r="L1142" s="54"/>
      <c r="M1142" s="201"/>
      <c r="N1142" s="124"/>
      <c r="O1142" s="124"/>
      <c r="P1142" s="202"/>
      <c r="Q1142" s="84"/>
      <c r="R1142" s="190"/>
      <c r="S1142" s="196"/>
    </row>
    <row r="1143" spans="1:19" ht="37.15" customHeight="1">
      <c r="A1143" s="196"/>
      <c r="B1143" s="197"/>
      <c r="C1143" s="197"/>
      <c r="D1143" s="124"/>
      <c r="E1143" s="198"/>
      <c r="F1143" s="198"/>
      <c r="G1143" s="197"/>
      <c r="H1143" s="199"/>
      <c r="I1143" s="199"/>
      <c r="J1143" s="197"/>
      <c r="K1143" s="200"/>
      <c r="L1143" s="54"/>
      <c r="M1143" s="201"/>
      <c r="N1143" s="124"/>
      <c r="O1143" s="124"/>
      <c r="P1143" s="202"/>
      <c r="Q1143" s="84"/>
      <c r="R1143" s="190"/>
      <c r="S1143" s="196"/>
    </row>
    <row r="1144" spans="1:19" ht="37.15" customHeight="1">
      <c r="A1144" s="196"/>
      <c r="B1144" s="197"/>
      <c r="C1144" s="197"/>
      <c r="D1144" s="124"/>
      <c r="E1144" s="198"/>
      <c r="F1144" s="198"/>
      <c r="G1144" s="197"/>
      <c r="H1144" s="199"/>
      <c r="I1144" s="199"/>
      <c r="J1144" s="197"/>
      <c r="K1144" s="200"/>
      <c r="L1144" s="54"/>
      <c r="M1144" s="201"/>
      <c r="N1144" s="124"/>
      <c r="O1144" s="124"/>
      <c r="P1144" s="202"/>
      <c r="Q1144" s="84"/>
      <c r="R1144" s="190"/>
      <c r="S1144" s="196"/>
    </row>
    <row r="1145" spans="1:19" ht="37.15" customHeight="1">
      <c r="A1145" s="196"/>
      <c r="B1145" s="197"/>
      <c r="C1145" s="197"/>
      <c r="D1145" s="124"/>
      <c r="E1145" s="198"/>
      <c r="F1145" s="198"/>
      <c r="G1145" s="197"/>
      <c r="H1145" s="199"/>
      <c r="I1145" s="199"/>
      <c r="J1145" s="197"/>
      <c r="K1145" s="200"/>
      <c r="L1145" s="54"/>
      <c r="M1145" s="201"/>
      <c r="N1145" s="124"/>
      <c r="O1145" s="124"/>
      <c r="P1145" s="202"/>
      <c r="Q1145" s="84"/>
      <c r="R1145" s="190"/>
      <c r="S1145" s="196"/>
    </row>
    <row r="1146" spans="1:19" ht="37.15" customHeight="1">
      <c r="A1146" s="196"/>
      <c r="B1146" s="197"/>
      <c r="C1146" s="197"/>
      <c r="D1146" s="124"/>
      <c r="E1146" s="198"/>
      <c r="F1146" s="198"/>
      <c r="G1146" s="197"/>
      <c r="H1146" s="199"/>
      <c r="I1146" s="199"/>
      <c r="J1146" s="197"/>
      <c r="K1146" s="200"/>
      <c r="L1146" s="54"/>
      <c r="M1146" s="201"/>
      <c r="N1146" s="124"/>
      <c r="O1146" s="124"/>
      <c r="P1146" s="202"/>
      <c r="Q1146" s="84"/>
      <c r="R1146" s="190"/>
      <c r="S1146" s="196"/>
    </row>
    <row r="1147" spans="1:19" ht="37.15" customHeight="1">
      <c r="A1147" s="196"/>
      <c r="B1147" s="197"/>
      <c r="C1147" s="197"/>
      <c r="D1147" s="124"/>
      <c r="E1147" s="198"/>
      <c r="F1147" s="198"/>
      <c r="G1147" s="197"/>
      <c r="H1147" s="199"/>
      <c r="I1147" s="199"/>
      <c r="J1147" s="197"/>
      <c r="K1147" s="200"/>
      <c r="L1147" s="54"/>
      <c r="M1147" s="201"/>
      <c r="N1147" s="124"/>
      <c r="O1147" s="124"/>
      <c r="P1147" s="202"/>
      <c r="Q1147" s="84"/>
      <c r="R1147" s="190"/>
      <c r="S1147" s="196"/>
    </row>
    <row r="1148" spans="1:19" ht="37.15" customHeight="1">
      <c r="A1148" s="196"/>
      <c r="B1148" s="197"/>
      <c r="C1148" s="197"/>
      <c r="D1148" s="124"/>
      <c r="E1148" s="198"/>
      <c r="F1148" s="198"/>
      <c r="G1148" s="197"/>
      <c r="H1148" s="199"/>
      <c r="I1148" s="199"/>
      <c r="J1148" s="197"/>
      <c r="K1148" s="200"/>
      <c r="L1148" s="54"/>
      <c r="M1148" s="201"/>
      <c r="N1148" s="124"/>
      <c r="O1148" s="124"/>
      <c r="P1148" s="202"/>
      <c r="Q1148" s="84"/>
      <c r="R1148" s="190"/>
      <c r="S1148" s="196"/>
    </row>
    <row r="1149" spans="1:19" ht="37.15" customHeight="1">
      <c r="A1149" s="196"/>
      <c r="B1149" s="197"/>
      <c r="C1149" s="197"/>
      <c r="D1149" s="124"/>
      <c r="E1149" s="198"/>
      <c r="F1149" s="198"/>
      <c r="G1149" s="197"/>
      <c r="H1149" s="199"/>
      <c r="I1149" s="199"/>
      <c r="J1149" s="197"/>
      <c r="K1149" s="200"/>
      <c r="L1149" s="54"/>
      <c r="M1149" s="201"/>
      <c r="N1149" s="124"/>
      <c r="O1149" s="124"/>
      <c r="P1149" s="202"/>
      <c r="Q1149" s="84"/>
      <c r="R1149" s="190"/>
      <c r="S1149" s="196"/>
    </row>
    <row r="1150" spans="1:19" ht="37.15" customHeight="1">
      <c r="A1150" s="196"/>
      <c r="B1150" s="197"/>
      <c r="C1150" s="197"/>
      <c r="D1150" s="124"/>
      <c r="E1150" s="198"/>
      <c r="F1150" s="198"/>
      <c r="G1150" s="197"/>
      <c r="H1150" s="199"/>
      <c r="I1150" s="199"/>
      <c r="J1150" s="197"/>
      <c r="K1150" s="200"/>
      <c r="L1150" s="54"/>
      <c r="M1150" s="201"/>
      <c r="N1150" s="124"/>
      <c r="O1150" s="124"/>
      <c r="P1150" s="202"/>
      <c r="Q1150" s="84"/>
      <c r="R1150" s="190"/>
      <c r="S1150" s="196"/>
    </row>
    <row r="1151" spans="1:19" ht="37.15" customHeight="1">
      <c r="A1151" s="196"/>
      <c r="B1151" s="197"/>
      <c r="C1151" s="197"/>
      <c r="D1151" s="124"/>
      <c r="E1151" s="198"/>
      <c r="F1151" s="198"/>
      <c r="G1151" s="197"/>
      <c r="H1151" s="199"/>
      <c r="I1151" s="199"/>
      <c r="J1151" s="197"/>
      <c r="K1151" s="200"/>
      <c r="L1151" s="54"/>
      <c r="M1151" s="201"/>
      <c r="N1151" s="124"/>
      <c r="O1151" s="124"/>
      <c r="P1151" s="202"/>
      <c r="Q1151" s="84"/>
      <c r="R1151" s="190"/>
      <c r="S1151" s="196"/>
    </row>
    <row r="1152" spans="1:19" ht="37.15" customHeight="1">
      <c r="A1152" s="196"/>
      <c r="B1152" s="197"/>
      <c r="C1152" s="197"/>
      <c r="D1152" s="124"/>
      <c r="E1152" s="198"/>
      <c r="F1152" s="198"/>
      <c r="G1152" s="197"/>
      <c r="H1152" s="199"/>
      <c r="I1152" s="199"/>
      <c r="J1152" s="197"/>
      <c r="K1152" s="200"/>
      <c r="L1152" s="54"/>
      <c r="M1152" s="201"/>
      <c r="N1152" s="124"/>
      <c r="O1152" s="124"/>
      <c r="P1152" s="202"/>
      <c r="Q1152" s="84"/>
      <c r="R1152" s="190"/>
      <c r="S1152" s="196"/>
    </row>
    <row r="1153" spans="1:19" ht="37.15" customHeight="1">
      <c r="A1153" s="196"/>
      <c r="B1153" s="197"/>
      <c r="C1153" s="197"/>
      <c r="D1153" s="124"/>
      <c r="E1153" s="198"/>
      <c r="F1153" s="198"/>
      <c r="G1153" s="197"/>
      <c r="H1153" s="199"/>
      <c r="I1153" s="199"/>
      <c r="J1153" s="197"/>
      <c r="K1153" s="200"/>
      <c r="L1153" s="54"/>
      <c r="M1153" s="201"/>
      <c r="N1153" s="124"/>
      <c r="O1153" s="124"/>
      <c r="P1153" s="202"/>
      <c r="Q1153" s="84"/>
      <c r="R1153" s="190"/>
      <c r="S1153" s="196"/>
    </row>
    <row r="1154" spans="1:19" ht="37.15" customHeight="1">
      <c r="A1154" s="196"/>
      <c r="B1154" s="197"/>
      <c r="C1154" s="197"/>
      <c r="D1154" s="124"/>
      <c r="E1154" s="198"/>
      <c r="F1154" s="198"/>
      <c r="G1154" s="197"/>
      <c r="H1154" s="199"/>
      <c r="I1154" s="199"/>
      <c r="J1154" s="197"/>
      <c r="K1154" s="200"/>
      <c r="L1154" s="54"/>
      <c r="M1154" s="201"/>
      <c r="N1154" s="124"/>
      <c r="O1154" s="124"/>
      <c r="P1154" s="202"/>
      <c r="Q1154" s="84"/>
      <c r="R1154" s="190"/>
      <c r="S1154" s="196"/>
    </row>
    <row r="1155" spans="1:19" ht="37.15" customHeight="1">
      <c r="A1155" s="196"/>
      <c r="B1155" s="197"/>
      <c r="C1155" s="197"/>
      <c r="D1155" s="124"/>
      <c r="E1155" s="198"/>
      <c r="F1155" s="198"/>
      <c r="G1155" s="197"/>
      <c r="H1155" s="199"/>
      <c r="I1155" s="199"/>
      <c r="J1155" s="197"/>
      <c r="K1155" s="200"/>
      <c r="L1155" s="54"/>
      <c r="M1155" s="201"/>
      <c r="N1155" s="124"/>
      <c r="O1155" s="124"/>
      <c r="P1155" s="202"/>
      <c r="Q1155" s="84"/>
      <c r="R1155" s="190"/>
      <c r="S1155" s="196"/>
    </row>
    <row r="1156" spans="1:19" ht="37.15" customHeight="1">
      <c r="A1156" s="196"/>
      <c r="B1156" s="197"/>
      <c r="C1156" s="197"/>
      <c r="D1156" s="124"/>
      <c r="E1156" s="198"/>
      <c r="F1156" s="198"/>
      <c r="G1156" s="197"/>
      <c r="H1156" s="199"/>
      <c r="I1156" s="199"/>
      <c r="J1156" s="197"/>
      <c r="K1156" s="200"/>
      <c r="L1156" s="54"/>
      <c r="M1156" s="201"/>
      <c r="N1156" s="124"/>
      <c r="O1156" s="124"/>
      <c r="P1156" s="202"/>
      <c r="Q1156" s="84"/>
      <c r="R1156" s="190"/>
      <c r="S1156" s="196"/>
    </row>
    <row r="1157" spans="1:19" ht="37.15" customHeight="1">
      <c r="A1157" s="196"/>
      <c r="B1157" s="197"/>
      <c r="C1157" s="197"/>
      <c r="D1157" s="124"/>
      <c r="E1157" s="198"/>
      <c r="F1157" s="198"/>
      <c r="G1157" s="197"/>
      <c r="H1157" s="199"/>
      <c r="I1157" s="199"/>
      <c r="J1157" s="197"/>
      <c r="K1157" s="200"/>
      <c r="L1157" s="54"/>
      <c r="M1157" s="201"/>
      <c r="N1157" s="124"/>
      <c r="O1157" s="124"/>
      <c r="P1157" s="202"/>
      <c r="Q1157" s="84"/>
      <c r="R1157" s="190"/>
      <c r="S1157" s="196"/>
    </row>
    <row r="1158" spans="1:19" ht="37.15" customHeight="1">
      <c r="A1158" s="196"/>
      <c r="B1158" s="197"/>
      <c r="C1158" s="197"/>
      <c r="D1158" s="124"/>
      <c r="E1158" s="198"/>
      <c r="F1158" s="198"/>
      <c r="G1158" s="197"/>
      <c r="H1158" s="199"/>
      <c r="I1158" s="199"/>
      <c r="J1158" s="197"/>
      <c r="K1158" s="200"/>
      <c r="L1158" s="54"/>
      <c r="M1158" s="201"/>
      <c r="N1158" s="124"/>
      <c r="O1158" s="124"/>
      <c r="P1158" s="202"/>
      <c r="Q1158" s="84"/>
      <c r="R1158" s="190"/>
      <c r="S1158" s="196"/>
    </row>
    <row r="1159" spans="1:19" ht="37.15" customHeight="1">
      <c r="A1159" s="196"/>
      <c r="B1159" s="197"/>
      <c r="C1159" s="197"/>
      <c r="D1159" s="124"/>
      <c r="E1159" s="198"/>
      <c r="F1159" s="198"/>
      <c r="G1159" s="197"/>
      <c r="H1159" s="199"/>
      <c r="I1159" s="199"/>
      <c r="J1159" s="197"/>
      <c r="K1159" s="200"/>
      <c r="L1159" s="54"/>
      <c r="M1159" s="201"/>
      <c r="N1159" s="124"/>
      <c r="O1159" s="124"/>
      <c r="P1159" s="202"/>
      <c r="Q1159" s="84"/>
      <c r="R1159" s="190"/>
      <c r="S1159" s="196"/>
    </row>
    <row r="1160" spans="1:19" ht="37.15" customHeight="1">
      <c r="A1160" s="196"/>
      <c r="B1160" s="197"/>
      <c r="C1160" s="197"/>
      <c r="D1160" s="124"/>
      <c r="E1160" s="198"/>
      <c r="F1160" s="198"/>
      <c r="G1160" s="197"/>
      <c r="H1160" s="199"/>
      <c r="I1160" s="199"/>
      <c r="J1160" s="197"/>
      <c r="K1160" s="200"/>
      <c r="L1160" s="54"/>
      <c r="M1160" s="201"/>
      <c r="N1160" s="124"/>
      <c r="O1160" s="124"/>
      <c r="P1160" s="202"/>
      <c r="Q1160" s="84"/>
      <c r="R1160" s="190"/>
      <c r="S1160" s="196"/>
    </row>
    <row r="1161" spans="1:19" ht="37.15" customHeight="1">
      <c r="A1161" s="196"/>
      <c r="B1161" s="197"/>
      <c r="C1161" s="197"/>
      <c r="D1161" s="124"/>
      <c r="E1161" s="198"/>
      <c r="F1161" s="198"/>
      <c r="G1161" s="197"/>
      <c r="H1161" s="199"/>
      <c r="I1161" s="199"/>
      <c r="J1161" s="197"/>
      <c r="K1161" s="200"/>
      <c r="L1161" s="54"/>
      <c r="M1161" s="201"/>
      <c r="N1161" s="124"/>
      <c r="O1161" s="124"/>
      <c r="P1161" s="202"/>
      <c r="Q1161" s="84"/>
      <c r="R1161" s="190"/>
      <c r="S1161" s="196"/>
    </row>
    <row r="1162" spans="1:19" ht="37.15" customHeight="1">
      <c r="A1162" s="196"/>
      <c r="B1162" s="197"/>
      <c r="C1162" s="197"/>
      <c r="D1162" s="124"/>
      <c r="E1162" s="198"/>
      <c r="F1162" s="198"/>
      <c r="G1162" s="197"/>
      <c r="H1162" s="199"/>
      <c r="I1162" s="199"/>
      <c r="J1162" s="197"/>
      <c r="K1162" s="200"/>
      <c r="L1162" s="54"/>
      <c r="M1162" s="201"/>
      <c r="N1162" s="124"/>
      <c r="O1162" s="124"/>
      <c r="P1162" s="202"/>
      <c r="Q1162" s="84"/>
      <c r="R1162" s="190"/>
      <c r="S1162" s="196"/>
    </row>
    <row r="1163" spans="1:19" ht="37.15" customHeight="1">
      <c r="A1163" s="196"/>
      <c r="B1163" s="197"/>
      <c r="C1163" s="197"/>
      <c r="D1163" s="124"/>
      <c r="E1163" s="198"/>
      <c r="F1163" s="198"/>
      <c r="G1163" s="197"/>
      <c r="H1163" s="199"/>
      <c r="I1163" s="199"/>
      <c r="J1163" s="197"/>
      <c r="K1163" s="200"/>
      <c r="L1163" s="54"/>
      <c r="M1163" s="201"/>
      <c r="N1163" s="124"/>
      <c r="O1163" s="124"/>
      <c r="P1163" s="202"/>
      <c r="Q1163" s="84"/>
      <c r="R1163" s="190"/>
      <c r="S1163" s="196"/>
    </row>
    <row r="1164" spans="1:19" ht="37.15" customHeight="1">
      <c r="A1164" s="196"/>
      <c r="B1164" s="197"/>
      <c r="C1164" s="197"/>
      <c r="D1164" s="124"/>
      <c r="E1164" s="198"/>
      <c r="F1164" s="198"/>
      <c r="G1164" s="197"/>
      <c r="H1164" s="199"/>
      <c r="I1164" s="199"/>
      <c r="J1164" s="197"/>
      <c r="K1164" s="200"/>
      <c r="L1164" s="54"/>
      <c r="M1164" s="201"/>
      <c r="N1164" s="124"/>
      <c r="O1164" s="124"/>
      <c r="P1164" s="202"/>
      <c r="Q1164" s="84"/>
      <c r="R1164" s="190"/>
      <c r="S1164" s="196"/>
    </row>
    <row r="1165" spans="1:19" ht="37.15" customHeight="1">
      <c r="A1165" s="196"/>
      <c r="B1165" s="197"/>
      <c r="C1165" s="197"/>
      <c r="D1165" s="124"/>
      <c r="E1165" s="198"/>
      <c r="F1165" s="198"/>
      <c r="G1165" s="197"/>
      <c r="H1165" s="199"/>
      <c r="I1165" s="199"/>
      <c r="J1165" s="197"/>
      <c r="K1165" s="200"/>
      <c r="L1165" s="54"/>
      <c r="M1165" s="201"/>
      <c r="N1165" s="124"/>
      <c r="O1165" s="124"/>
      <c r="P1165" s="202"/>
      <c r="Q1165" s="84"/>
      <c r="R1165" s="190"/>
      <c r="S1165" s="196"/>
    </row>
    <row r="1166" spans="1:19" ht="37.15" customHeight="1">
      <c r="A1166" s="196"/>
      <c r="B1166" s="197"/>
      <c r="C1166" s="197"/>
      <c r="D1166" s="124"/>
      <c r="E1166" s="198"/>
      <c r="F1166" s="198"/>
      <c r="G1166" s="197"/>
      <c r="H1166" s="199"/>
      <c r="I1166" s="199"/>
      <c r="J1166" s="197"/>
      <c r="K1166" s="200"/>
      <c r="L1166" s="54"/>
      <c r="M1166" s="201"/>
      <c r="N1166" s="124"/>
      <c r="O1166" s="124"/>
      <c r="P1166" s="202"/>
      <c r="Q1166" s="84"/>
      <c r="R1166" s="190"/>
      <c r="S1166" s="196"/>
    </row>
    <row r="1167" spans="1:19" ht="37.15" customHeight="1">
      <c r="A1167" s="196"/>
      <c r="B1167" s="197"/>
      <c r="C1167" s="197"/>
      <c r="D1167" s="124"/>
      <c r="E1167" s="198"/>
      <c r="F1167" s="198"/>
      <c r="G1167" s="197"/>
      <c r="H1167" s="199"/>
      <c r="I1167" s="199"/>
      <c r="J1167" s="197"/>
      <c r="K1167" s="200"/>
      <c r="L1167" s="54"/>
      <c r="M1167" s="201"/>
      <c r="N1167" s="124"/>
      <c r="O1167" s="124"/>
      <c r="P1167" s="202"/>
      <c r="Q1167" s="84"/>
      <c r="R1167" s="190"/>
      <c r="S1167" s="196"/>
    </row>
    <row r="1168" spans="1:19" ht="37.15" customHeight="1">
      <c r="A1168" s="196"/>
      <c r="B1168" s="197"/>
      <c r="C1168" s="197"/>
      <c r="D1168" s="124"/>
      <c r="E1168" s="198"/>
      <c r="F1168" s="198"/>
      <c r="G1168" s="197"/>
      <c r="H1168" s="199"/>
      <c r="I1168" s="199"/>
      <c r="J1168" s="197"/>
      <c r="K1168" s="200"/>
      <c r="L1168" s="54"/>
      <c r="M1168" s="201"/>
      <c r="N1168" s="124"/>
      <c r="O1168" s="124"/>
      <c r="P1168" s="202"/>
      <c r="Q1168" s="84"/>
      <c r="R1168" s="190"/>
      <c r="S1168" s="196"/>
    </row>
    <row r="1169" spans="1:19" ht="37.15" customHeight="1">
      <c r="A1169" s="196"/>
      <c r="B1169" s="197"/>
      <c r="C1169" s="197"/>
      <c r="D1169" s="124"/>
      <c r="E1169" s="198"/>
      <c r="F1169" s="198"/>
      <c r="G1169" s="197"/>
      <c r="H1169" s="199"/>
      <c r="I1169" s="199"/>
      <c r="J1169" s="197"/>
      <c r="K1169" s="200"/>
      <c r="L1169" s="54"/>
      <c r="M1169" s="201"/>
      <c r="N1169" s="124"/>
      <c r="O1169" s="124"/>
      <c r="P1169" s="202"/>
      <c r="Q1169" s="84"/>
      <c r="R1169" s="190"/>
      <c r="S1169" s="196"/>
    </row>
    <row r="1170" spans="1:19" ht="37.15" customHeight="1">
      <c r="A1170" s="196"/>
      <c r="B1170" s="197"/>
      <c r="C1170" s="197"/>
      <c r="D1170" s="124"/>
      <c r="E1170" s="198"/>
      <c r="F1170" s="198"/>
      <c r="G1170" s="197"/>
      <c r="H1170" s="199"/>
      <c r="I1170" s="199"/>
      <c r="J1170" s="197"/>
      <c r="K1170" s="200"/>
      <c r="L1170" s="54"/>
      <c r="M1170" s="201"/>
      <c r="N1170" s="124"/>
      <c r="O1170" s="124"/>
      <c r="P1170" s="202"/>
      <c r="Q1170" s="84"/>
      <c r="R1170" s="190"/>
      <c r="S1170" s="196"/>
    </row>
    <row r="1171" spans="1:19" ht="37.15" customHeight="1">
      <c r="A1171" s="196"/>
      <c r="B1171" s="197"/>
      <c r="C1171" s="197"/>
      <c r="D1171" s="124"/>
      <c r="E1171" s="198"/>
      <c r="F1171" s="198"/>
      <c r="G1171" s="197"/>
      <c r="H1171" s="199"/>
      <c r="I1171" s="199"/>
      <c r="J1171" s="197"/>
      <c r="K1171" s="200"/>
      <c r="L1171" s="54"/>
      <c r="M1171" s="201"/>
      <c r="N1171" s="124"/>
      <c r="O1171" s="124"/>
      <c r="P1171" s="202"/>
      <c r="Q1171" s="84"/>
      <c r="R1171" s="190"/>
      <c r="S1171" s="196"/>
    </row>
    <row r="1172" spans="1:19" ht="37.15" customHeight="1">
      <c r="A1172" s="196"/>
      <c r="B1172" s="197"/>
      <c r="C1172" s="197"/>
      <c r="D1172" s="124"/>
      <c r="E1172" s="198"/>
      <c r="F1172" s="198"/>
      <c r="G1172" s="197"/>
      <c r="H1172" s="199"/>
      <c r="I1172" s="199"/>
      <c r="J1172" s="197"/>
      <c r="K1172" s="200"/>
      <c r="L1172" s="54"/>
      <c r="M1172" s="201"/>
      <c r="N1172" s="124"/>
      <c r="O1172" s="124"/>
      <c r="P1172" s="202"/>
      <c r="Q1172" s="84"/>
      <c r="R1172" s="190"/>
      <c r="S1172" s="196"/>
    </row>
    <row r="1173" spans="1:19" ht="37.15" customHeight="1">
      <c r="A1173" s="196"/>
      <c r="B1173" s="197"/>
      <c r="C1173" s="197"/>
      <c r="D1173" s="124"/>
      <c r="E1173" s="198"/>
      <c r="F1173" s="198"/>
      <c r="G1173" s="197"/>
      <c r="H1173" s="199"/>
      <c r="I1173" s="199"/>
      <c r="J1173" s="197"/>
      <c r="K1173" s="200"/>
      <c r="L1173" s="54"/>
      <c r="M1173" s="201"/>
      <c r="N1173" s="124"/>
      <c r="O1173" s="124"/>
      <c r="P1173" s="202"/>
      <c r="Q1173" s="84"/>
      <c r="R1173" s="190"/>
      <c r="S1173" s="196"/>
    </row>
    <row r="1174" spans="1:19" ht="37.15" customHeight="1">
      <c r="A1174" s="196"/>
      <c r="B1174" s="197"/>
      <c r="C1174" s="197"/>
      <c r="D1174" s="124"/>
      <c r="E1174" s="198"/>
      <c r="F1174" s="198"/>
      <c r="G1174" s="197"/>
      <c r="H1174" s="199"/>
      <c r="I1174" s="199"/>
      <c r="J1174" s="197"/>
      <c r="K1174" s="200"/>
      <c r="L1174" s="54"/>
      <c r="M1174" s="201"/>
      <c r="N1174" s="124"/>
      <c r="O1174" s="124"/>
      <c r="P1174" s="202"/>
      <c r="Q1174" s="84"/>
      <c r="R1174" s="190"/>
      <c r="S1174" s="196"/>
    </row>
    <row r="1175" spans="1:19" ht="37.15" customHeight="1">
      <c r="A1175" s="196"/>
      <c r="B1175" s="197"/>
      <c r="C1175" s="197"/>
      <c r="D1175" s="124"/>
      <c r="E1175" s="198"/>
      <c r="F1175" s="198"/>
      <c r="G1175" s="197"/>
      <c r="H1175" s="199"/>
      <c r="I1175" s="199"/>
      <c r="J1175" s="197"/>
      <c r="K1175" s="200"/>
      <c r="L1175" s="54"/>
      <c r="M1175" s="201"/>
      <c r="N1175" s="124"/>
      <c r="O1175" s="124"/>
      <c r="P1175" s="202"/>
      <c r="Q1175" s="84"/>
      <c r="R1175" s="190"/>
      <c r="S1175" s="196"/>
    </row>
    <row r="1176" spans="1:19" ht="37.15" customHeight="1">
      <c r="A1176" s="196"/>
      <c r="B1176" s="197"/>
      <c r="C1176" s="197"/>
      <c r="D1176" s="124"/>
      <c r="E1176" s="198"/>
      <c r="F1176" s="198"/>
      <c r="G1176" s="197"/>
      <c r="H1176" s="199"/>
      <c r="I1176" s="199"/>
      <c r="J1176" s="197"/>
      <c r="K1176" s="200"/>
      <c r="L1176" s="54"/>
      <c r="M1176" s="201"/>
      <c r="N1176" s="124"/>
      <c r="O1176" s="124"/>
      <c r="P1176" s="202"/>
      <c r="Q1176" s="84"/>
      <c r="R1176" s="190"/>
      <c r="S1176" s="196"/>
    </row>
    <row r="1177" spans="1:19" ht="37.15" customHeight="1">
      <c r="A1177" s="196"/>
      <c r="B1177" s="197"/>
      <c r="C1177" s="197"/>
      <c r="D1177" s="124"/>
      <c r="E1177" s="198"/>
      <c r="F1177" s="198"/>
      <c r="G1177" s="197"/>
      <c r="H1177" s="199"/>
      <c r="I1177" s="199"/>
      <c r="J1177" s="197"/>
      <c r="K1177" s="200"/>
      <c r="L1177" s="54"/>
      <c r="M1177" s="201"/>
      <c r="N1177" s="124"/>
      <c r="O1177" s="124"/>
      <c r="P1177" s="202"/>
      <c r="Q1177" s="84"/>
      <c r="R1177" s="190"/>
      <c r="S1177" s="196"/>
    </row>
    <row r="1178" spans="1:19" ht="37.15" customHeight="1">
      <c r="A1178" s="196"/>
      <c r="B1178" s="197"/>
      <c r="C1178" s="197"/>
      <c r="D1178" s="124"/>
      <c r="E1178" s="198"/>
      <c r="F1178" s="198"/>
      <c r="G1178" s="197"/>
      <c r="H1178" s="199"/>
      <c r="I1178" s="199"/>
      <c r="J1178" s="197"/>
      <c r="K1178" s="200"/>
      <c r="L1178" s="54"/>
      <c r="M1178" s="201"/>
      <c r="N1178" s="124"/>
      <c r="O1178" s="124"/>
      <c r="P1178" s="202"/>
      <c r="Q1178" s="84"/>
      <c r="R1178" s="190"/>
      <c r="S1178" s="196"/>
    </row>
    <row r="1179" spans="1:19" ht="37.15" customHeight="1">
      <c r="A1179" s="196"/>
      <c r="B1179" s="197"/>
      <c r="C1179" s="197"/>
      <c r="D1179" s="124"/>
      <c r="E1179" s="198"/>
      <c r="F1179" s="198"/>
      <c r="G1179" s="197"/>
      <c r="H1179" s="199"/>
      <c r="I1179" s="199"/>
      <c r="J1179" s="197"/>
      <c r="K1179" s="200"/>
      <c r="L1179" s="54"/>
      <c r="M1179" s="201"/>
      <c r="N1179" s="124"/>
      <c r="O1179" s="124"/>
      <c r="P1179" s="202"/>
      <c r="Q1179" s="84"/>
      <c r="R1179" s="190"/>
      <c r="S1179" s="196"/>
    </row>
    <row r="1180" spans="1:19" ht="37.15" customHeight="1">
      <c r="A1180" s="196"/>
      <c r="B1180" s="197"/>
      <c r="C1180" s="197"/>
      <c r="D1180" s="124"/>
      <c r="E1180" s="198"/>
      <c r="F1180" s="198"/>
      <c r="G1180" s="197"/>
      <c r="H1180" s="199"/>
      <c r="I1180" s="199"/>
      <c r="J1180" s="197"/>
      <c r="K1180" s="200"/>
      <c r="L1180" s="54"/>
      <c r="M1180" s="201"/>
      <c r="N1180" s="124"/>
      <c r="O1180" s="124"/>
      <c r="P1180" s="202"/>
      <c r="Q1180" s="84"/>
      <c r="R1180" s="190"/>
      <c r="S1180" s="196"/>
    </row>
    <row r="1181" spans="1:19" ht="37.15" customHeight="1">
      <c r="A1181" s="196"/>
      <c r="B1181" s="197"/>
      <c r="C1181" s="197"/>
      <c r="D1181" s="124"/>
      <c r="E1181" s="198"/>
      <c r="F1181" s="198"/>
      <c r="G1181" s="197"/>
      <c r="H1181" s="199"/>
      <c r="I1181" s="199"/>
      <c r="J1181" s="197"/>
      <c r="K1181" s="200"/>
      <c r="L1181" s="54"/>
      <c r="M1181" s="201"/>
      <c r="N1181" s="124"/>
      <c r="O1181" s="124"/>
      <c r="P1181" s="202"/>
      <c r="Q1181" s="84"/>
      <c r="R1181" s="190"/>
      <c r="S1181" s="196"/>
    </row>
    <row r="1182" spans="1:19" ht="37.15" customHeight="1">
      <c r="A1182" s="196"/>
      <c r="B1182" s="197"/>
      <c r="C1182" s="197"/>
      <c r="D1182" s="124"/>
      <c r="E1182" s="198"/>
      <c r="F1182" s="198"/>
      <c r="G1182" s="197"/>
      <c r="H1182" s="199"/>
      <c r="I1182" s="199"/>
      <c r="J1182" s="197"/>
      <c r="K1182" s="200"/>
      <c r="L1182" s="54"/>
      <c r="M1182" s="201"/>
      <c r="N1182" s="124"/>
      <c r="O1182" s="124"/>
      <c r="P1182" s="202"/>
      <c r="Q1182" s="84"/>
      <c r="R1182" s="190"/>
      <c r="S1182" s="196"/>
    </row>
    <row r="1183" spans="1:19" ht="37.15" customHeight="1">
      <c r="A1183" s="196"/>
      <c r="B1183" s="197"/>
      <c r="C1183" s="197"/>
      <c r="D1183" s="124"/>
      <c r="E1183" s="198"/>
      <c r="F1183" s="198"/>
      <c r="G1183" s="197"/>
      <c r="H1183" s="199"/>
      <c r="I1183" s="199"/>
      <c r="J1183" s="197"/>
      <c r="K1183" s="200"/>
      <c r="L1183" s="54"/>
      <c r="M1183" s="201"/>
      <c r="N1183" s="124"/>
      <c r="O1183" s="124"/>
      <c r="P1183" s="202"/>
      <c r="Q1183" s="84"/>
      <c r="R1183" s="190"/>
      <c r="S1183" s="196"/>
    </row>
    <row r="1184" spans="1:19" ht="37.15" customHeight="1">
      <c r="A1184" s="196"/>
      <c r="B1184" s="197"/>
      <c r="C1184" s="197"/>
      <c r="D1184" s="124"/>
      <c r="E1184" s="198"/>
      <c r="F1184" s="198"/>
      <c r="G1184" s="197"/>
      <c r="H1184" s="199"/>
      <c r="I1184" s="199"/>
      <c r="J1184" s="197"/>
      <c r="K1184" s="200"/>
      <c r="L1184" s="54"/>
      <c r="M1184" s="201"/>
      <c r="N1184" s="124"/>
      <c r="O1184" s="124"/>
      <c r="P1184" s="202"/>
      <c r="Q1184" s="84"/>
      <c r="R1184" s="190"/>
      <c r="S1184" s="196"/>
    </row>
    <row r="1185" spans="1:19" ht="37.15" customHeight="1">
      <c r="A1185" s="196"/>
      <c r="B1185" s="197"/>
      <c r="C1185" s="197"/>
      <c r="D1185" s="124"/>
      <c r="E1185" s="198"/>
      <c r="F1185" s="198"/>
      <c r="G1185" s="197"/>
      <c r="H1185" s="199"/>
      <c r="I1185" s="199"/>
      <c r="J1185" s="197"/>
      <c r="K1185" s="200"/>
      <c r="L1185" s="54"/>
      <c r="M1185" s="201"/>
      <c r="N1185" s="124"/>
      <c r="O1185" s="124"/>
      <c r="P1185" s="202"/>
      <c r="Q1185" s="84"/>
      <c r="R1185" s="190"/>
      <c r="S1185" s="196"/>
    </row>
    <row r="1186" spans="1:19" ht="37.15" customHeight="1">
      <c r="A1186" s="196"/>
      <c r="B1186" s="197"/>
      <c r="C1186" s="197"/>
      <c r="D1186" s="124"/>
      <c r="E1186" s="198"/>
      <c r="F1186" s="198"/>
      <c r="G1186" s="197"/>
      <c r="H1186" s="199"/>
      <c r="I1186" s="199"/>
      <c r="J1186" s="197"/>
      <c r="K1186" s="200"/>
      <c r="L1186" s="54"/>
      <c r="M1186" s="201"/>
      <c r="N1186" s="124"/>
      <c r="O1186" s="124"/>
      <c r="P1186" s="202"/>
      <c r="Q1186" s="84"/>
      <c r="R1186" s="190"/>
      <c r="S1186" s="196"/>
    </row>
    <row r="1187" spans="1:19" ht="37.15" customHeight="1">
      <c r="A1187" s="196"/>
      <c r="B1187" s="197"/>
      <c r="C1187" s="197"/>
      <c r="D1187" s="124"/>
      <c r="E1187" s="198"/>
      <c r="F1187" s="198"/>
      <c r="G1187" s="197"/>
      <c r="H1187" s="199"/>
      <c r="I1187" s="199"/>
      <c r="J1187" s="197"/>
      <c r="K1187" s="200"/>
      <c r="L1187" s="54"/>
      <c r="M1187" s="201"/>
      <c r="N1187" s="124"/>
      <c r="O1187" s="124"/>
      <c r="P1187" s="202"/>
      <c r="Q1187" s="84"/>
      <c r="R1187" s="190"/>
      <c r="S1187" s="196"/>
    </row>
    <row r="1188" spans="1:19" ht="37.15" customHeight="1">
      <c r="A1188" s="196"/>
      <c r="B1188" s="197"/>
      <c r="C1188" s="197"/>
      <c r="D1188" s="124"/>
      <c r="E1188" s="198"/>
      <c r="F1188" s="198"/>
      <c r="G1188" s="197"/>
      <c r="H1188" s="199"/>
      <c r="I1188" s="199"/>
      <c r="J1188" s="197"/>
      <c r="K1188" s="200"/>
      <c r="L1188" s="54"/>
      <c r="M1188" s="201"/>
      <c r="N1188" s="124"/>
      <c r="O1188" s="124"/>
      <c r="P1188" s="202"/>
      <c r="Q1188" s="84"/>
      <c r="R1188" s="190"/>
      <c r="S1188" s="196"/>
    </row>
    <row r="1189" spans="1:19" ht="37.15" customHeight="1">
      <c r="A1189" s="196"/>
      <c r="B1189" s="197"/>
      <c r="C1189" s="197"/>
      <c r="D1189" s="124"/>
      <c r="E1189" s="198"/>
      <c r="F1189" s="198"/>
      <c r="G1189" s="197"/>
      <c r="H1189" s="199"/>
      <c r="I1189" s="199"/>
      <c r="J1189" s="197"/>
      <c r="K1189" s="200"/>
      <c r="L1189" s="54"/>
      <c r="M1189" s="201"/>
      <c r="N1189" s="124"/>
      <c r="O1189" s="124"/>
      <c r="P1189" s="202"/>
      <c r="Q1189" s="84"/>
      <c r="R1189" s="190"/>
      <c r="S1189" s="196"/>
    </row>
    <row r="1190" spans="1:19" ht="37.15" customHeight="1">
      <c r="A1190" s="196"/>
      <c r="B1190" s="197"/>
      <c r="C1190" s="197"/>
      <c r="D1190" s="124"/>
      <c r="E1190" s="198"/>
      <c r="F1190" s="198"/>
      <c r="G1190" s="197"/>
      <c r="H1190" s="199"/>
      <c r="I1190" s="199"/>
      <c r="J1190" s="197"/>
      <c r="K1190" s="200"/>
      <c r="L1190" s="54"/>
      <c r="M1190" s="201"/>
      <c r="N1190" s="124"/>
      <c r="O1190" s="124"/>
      <c r="P1190" s="202"/>
      <c r="Q1190" s="84"/>
      <c r="R1190" s="190"/>
      <c r="S1190" s="196"/>
    </row>
    <row r="1191" spans="1:19" ht="37.15" customHeight="1">
      <c r="A1191" s="196"/>
      <c r="B1191" s="197"/>
      <c r="C1191" s="197"/>
      <c r="D1191" s="124"/>
      <c r="E1191" s="198"/>
      <c r="F1191" s="198"/>
      <c r="G1191" s="197"/>
      <c r="H1191" s="199"/>
      <c r="I1191" s="199"/>
      <c r="J1191" s="197"/>
      <c r="K1191" s="200"/>
      <c r="L1191" s="54"/>
      <c r="M1191" s="201"/>
      <c r="N1191" s="124"/>
      <c r="O1191" s="124"/>
      <c r="P1191" s="202"/>
      <c r="Q1191" s="84"/>
      <c r="R1191" s="190"/>
      <c r="S1191" s="196"/>
    </row>
    <row r="1192" spans="1:19" ht="37.15" customHeight="1">
      <c r="A1192" s="196"/>
      <c r="B1192" s="197"/>
      <c r="C1192" s="197"/>
      <c r="D1192" s="124"/>
      <c r="E1192" s="198"/>
      <c r="F1192" s="198"/>
      <c r="G1192" s="197"/>
      <c r="H1192" s="199"/>
      <c r="I1192" s="199"/>
      <c r="J1192" s="197"/>
      <c r="K1192" s="200"/>
      <c r="L1192" s="54"/>
      <c r="M1192" s="201"/>
      <c r="N1192" s="124"/>
      <c r="O1192" s="124"/>
      <c r="P1192" s="202"/>
      <c r="Q1192" s="84"/>
      <c r="R1192" s="190"/>
      <c r="S1192" s="196"/>
    </row>
    <row r="1193" spans="1:19" ht="37.15" customHeight="1">
      <c r="A1193" s="196"/>
      <c r="B1193" s="197"/>
      <c r="C1193" s="197"/>
      <c r="D1193" s="124"/>
      <c r="E1193" s="198"/>
      <c r="F1193" s="198"/>
      <c r="G1193" s="197"/>
      <c r="H1193" s="199"/>
      <c r="I1193" s="199"/>
      <c r="J1193" s="197"/>
      <c r="K1193" s="200"/>
      <c r="L1193" s="54"/>
      <c r="M1193" s="201"/>
      <c r="N1193" s="124"/>
      <c r="O1193" s="124"/>
      <c r="P1193" s="202"/>
      <c r="Q1193" s="84"/>
      <c r="R1193" s="190"/>
      <c r="S1193" s="196"/>
    </row>
    <row r="1194" spans="1:19" ht="37.15" customHeight="1">
      <c r="A1194" s="196"/>
      <c r="B1194" s="197"/>
      <c r="C1194" s="197"/>
      <c r="D1194" s="124"/>
      <c r="E1194" s="198"/>
      <c r="F1194" s="198"/>
      <c r="G1194" s="197"/>
      <c r="H1194" s="199"/>
      <c r="I1194" s="199"/>
      <c r="J1194" s="197"/>
      <c r="K1194" s="200"/>
      <c r="L1194" s="54"/>
      <c r="M1194" s="201"/>
      <c r="N1194" s="124"/>
      <c r="O1194" s="124"/>
      <c r="P1194" s="202"/>
      <c r="Q1194" s="84"/>
      <c r="R1194" s="190"/>
      <c r="S1194" s="196"/>
    </row>
    <row r="1195" spans="1:19" ht="37.15" customHeight="1">
      <c r="A1195" s="196"/>
      <c r="B1195" s="197"/>
      <c r="C1195" s="197"/>
      <c r="D1195" s="124"/>
      <c r="E1195" s="198"/>
      <c r="F1195" s="198"/>
      <c r="G1195" s="197"/>
      <c r="H1195" s="199"/>
      <c r="I1195" s="199"/>
      <c r="J1195" s="197"/>
      <c r="K1195" s="200"/>
      <c r="L1195" s="54"/>
      <c r="M1195" s="201"/>
      <c r="N1195" s="124"/>
      <c r="O1195" s="124"/>
      <c r="P1195" s="202"/>
      <c r="Q1195" s="84"/>
      <c r="R1195" s="190"/>
      <c r="S1195" s="196"/>
    </row>
    <row r="1196" spans="1:19" ht="37.15" customHeight="1">
      <c r="A1196" s="196"/>
      <c r="B1196" s="197"/>
      <c r="C1196" s="197"/>
      <c r="D1196" s="124"/>
      <c r="E1196" s="198"/>
      <c r="F1196" s="198"/>
      <c r="G1196" s="197"/>
      <c r="H1196" s="199"/>
      <c r="I1196" s="199"/>
      <c r="J1196" s="197"/>
      <c r="K1196" s="200"/>
      <c r="L1196" s="54"/>
      <c r="M1196" s="201"/>
      <c r="N1196" s="124"/>
      <c r="O1196" s="124"/>
      <c r="P1196" s="202"/>
      <c r="Q1196" s="84"/>
      <c r="R1196" s="190"/>
      <c r="S1196" s="196"/>
    </row>
    <row r="1197" spans="1:19" ht="37.15" customHeight="1">
      <c r="A1197" s="196"/>
      <c r="B1197" s="197"/>
      <c r="C1197" s="197"/>
      <c r="D1197" s="124"/>
      <c r="E1197" s="198"/>
      <c r="F1197" s="198"/>
      <c r="G1197" s="197"/>
      <c r="H1197" s="199"/>
      <c r="I1197" s="199"/>
      <c r="J1197" s="197"/>
      <c r="K1197" s="200"/>
      <c r="L1197" s="54"/>
      <c r="M1197" s="201"/>
      <c r="N1197" s="124"/>
      <c r="O1197" s="124"/>
      <c r="P1197" s="202"/>
      <c r="Q1197" s="84"/>
      <c r="R1197" s="190"/>
      <c r="S1197" s="196"/>
    </row>
    <row r="1198" spans="1:19" ht="37.15" customHeight="1">
      <c r="A1198" s="196"/>
      <c r="B1198" s="197"/>
      <c r="C1198" s="197"/>
      <c r="D1198" s="124"/>
      <c r="E1198" s="198"/>
      <c r="F1198" s="198"/>
      <c r="G1198" s="197"/>
      <c r="H1198" s="199"/>
      <c r="I1198" s="199"/>
      <c r="J1198" s="197"/>
      <c r="K1198" s="200"/>
      <c r="L1198" s="54"/>
      <c r="M1198" s="201"/>
      <c r="N1198" s="124"/>
      <c r="O1198" s="124"/>
      <c r="P1198" s="202"/>
      <c r="Q1198" s="84"/>
      <c r="R1198" s="190"/>
      <c r="S1198" s="196"/>
    </row>
    <row r="1199" spans="1:19" ht="37.15" customHeight="1">
      <c r="A1199" s="196"/>
      <c r="B1199" s="197"/>
      <c r="C1199" s="197"/>
      <c r="D1199" s="124"/>
      <c r="E1199" s="198"/>
      <c r="F1199" s="198"/>
      <c r="G1199" s="197"/>
      <c r="H1199" s="199"/>
      <c r="I1199" s="199"/>
      <c r="J1199" s="197"/>
      <c r="K1199" s="200"/>
      <c r="L1199" s="54"/>
      <c r="M1199" s="201"/>
      <c r="N1199" s="124"/>
      <c r="O1199" s="124"/>
      <c r="P1199" s="202"/>
      <c r="Q1199" s="84"/>
      <c r="R1199" s="190"/>
      <c r="S1199" s="196"/>
    </row>
    <row r="1200" spans="1:19" ht="37.15" customHeight="1">
      <c r="A1200" s="196"/>
      <c r="B1200" s="197"/>
      <c r="C1200" s="197"/>
      <c r="D1200" s="124"/>
      <c r="E1200" s="198"/>
      <c r="F1200" s="198"/>
      <c r="G1200" s="197"/>
      <c r="H1200" s="199"/>
      <c r="I1200" s="199"/>
      <c r="J1200" s="197"/>
      <c r="K1200" s="200"/>
      <c r="L1200" s="54"/>
      <c r="M1200" s="201"/>
      <c r="N1200" s="124"/>
      <c r="O1200" s="124"/>
      <c r="P1200" s="202"/>
      <c r="Q1200" s="84"/>
      <c r="R1200" s="190"/>
      <c r="S1200" s="196"/>
    </row>
    <row r="1201" spans="1:19" ht="37.15" customHeight="1">
      <c r="A1201" s="196"/>
      <c r="B1201" s="197"/>
      <c r="C1201" s="197"/>
      <c r="D1201" s="124"/>
      <c r="E1201" s="198"/>
      <c r="F1201" s="198"/>
      <c r="G1201" s="197"/>
      <c r="H1201" s="199"/>
      <c r="I1201" s="199"/>
      <c r="J1201" s="197"/>
      <c r="K1201" s="200"/>
      <c r="L1201" s="54"/>
      <c r="M1201" s="201"/>
      <c r="N1201" s="124"/>
      <c r="O1201" s="124"/>
      <c r="P1201" s="202"/>
      <c r="Q1201" s="84"/>
      <c r="R1201" s="190"/>
      <c r="S1201" s="196"/>
    </row>
    <row r="1202" spans="1:19" ht="37.15" customHeight="1">
      <c r="A1202" s="196"/>
      <c r="B1202" s="197"/>
      <c r="C1202" s="197"/>
      <c r="D1202" s="124"/>
      <c r="E1202" s="198"/>
      <c r="F1202" s="198"/>
      <c r="G1202" s="197"/>
      <c r="H1202" s="199"/>
      <c r="I1202" s="199"/>
      <c r="J1202" s="197"/>
      <c r="K1202" s="200"/>
      <c r="L1202" s="54"/>
      <c r="M1202" s="201"/>
      <c r="N1202" s="124"/>
      <c r="O1202" s="124"/>
      <c r="P1202" s="202"/>
      <c r="Q1202" s="84"/>
      <c r="R1202" s="190"/>
      <c r="S1202" s="196"/>
    </row>
    <row r="1203" spans="1:19" ht="37.15" customHeight="1">
      <c r="A1203" s="196"/>
      <c r="B1203" s="197"/>
      <c r="C1203" s="197"/>
      <c r="D1203" s="124"/>
      <c r="E1203" s="198"/>
      <c r="F1203" s="198"/>
      <c r="G1203" s="197"/>
      <c r="H1203" s="199"/>
      <c r="I1203" s="199"/>
      <c r="J1203" s="197"/>
      <c r="K1203" s="200"/>
      <c r="L1203" s="54"/>
      <c r="M1203" s="201"/>
      <c r="N1203" s="124"/>
      <c r="O1203" s="124"/>
      <c r="P1203" s="202"/>
      <c r="Q1203" s="84"/>
      <c r="R1203" s="190"/>
      <c r="S1203" s="196"/>
    </row>
    <row r="1204" spans="1:19" ht="37.15" customHeight="1">
      <c r="A1204" s="196"/>
      <c r="B1204" s="197"/>
      <c r="C1204" s="197"/>
      <c r="D1204" s="124"/>
      <c r="E1204" s="198"/>
      <c r="F1204" s="198"/>
      <c r="G1204" s="197"/>
      <c r="H1204" s="199"/>
      <c r="I1204" s="199"/>
      <c r="J1204" s="197"/>
      <c r="K1204" s="200"/>
      <c r="L1204" s="54"/>
      <c r="M1204" s="201"/>
      <c r="N1204" s="124"/>
      <c r="O1204" s="124"/>
      <c r="P1204" s="202"/>
      <c r="Q1204" s="84"/>
      <c r="R1204" s="190"/>
      <c r="S1204" s="196"/>
    </row>
    <row r="1205" spans="1:19" ht="37.15" customHeight="1">
      <c r="A1205" s="196"/>
      <c r="B1205" s="197"/>
      <c r="C1205" s="197"/>
      <c r="D1205" s="124"/>
      <c r="E1205" s="198"/>
      <c r="F1205" s="198"/>
      <c r="G1205" s="197"/>
      <c r="H1205" s="199"/>
      <c r="I1205" s="199"/>
      <c r="J1205" s="197"/>
      <c r="K1205" s="200"/>
      <c r="L1205" s="54"/>
      <c r="M1205" s="201"/>
      <c r="N1205" s="124"/>
      <c r="O1205" s="124"/>
      <c r="P1205" s="202"/>
      <c r="Q1205" s="84"/>
      <c r="R1205" s="190"/>
      <c r="S1205" s="196"/>
    </row>
    <row r="1206" spans="1:19" ht="37.15" customHeight="1">
      <c r="A1206" s="196"/>
      <c r="B1206" s="197"/>
      <c r="C1206" s="197"/>
      <c r="D1206" s="124"/>
      <c r="E1206" s="198"/>
      <c r="F1206" s="198"/>
      <c r="G1206" s="197"/>
      <c r="H1206" s="199"/>
      <c r="I1206" s="199"/>
      <c r="J1206" s="197"/>
      <c r="K1206" s="200"/>
      <c r="L1206" s="54"/>
      <c r="M1206" s="201"/>
      <c r="N1206" s="124"/>
      <c r="O1206" s="124"/>
      <c r="P1206" s="202"/>
      <c r="Q1206" s="84"/>
      <c r="R1206" s="190"/>
      <c r="S1206" s="196"/>
    </row>
    <row r="1207" spans="1:19" ht="37.15" customHeight="1">
      <c r="A1207" s="196"/>
      <c r="B1207" s="197"/>
      <c r="C1207" s="197"/>
      <c r="D1207" s="124"/>
      <c r="E1207" s="198"/>
      <c r="F1207" s="198"/>
      <c r="G1207" s="197"/>
      <c r="H1207" s="199"/>
      <c r="I1207" s="199"/>
      <c r="J1207" s="197"/>
      <c r="K1207" s="200"/>
      <c r="L1207" s="54"/>
      <c r="M1207" s="201"/>
      <c r="N1207" s="124"/>
      <c r="O1207" s="124"/>
      <c r="P1207" s="202"/>
      <c r="Q1207" s="84"/>
      <c r="R1207" s="190"/>
      <c r="S1207" s="196"/>
    </row>
    <row r="1208" spans="1:19" ht="37.15" customHeight="1">
      <c r="A1208" s="196"/>
      <c r="B1208" s="197"/>
      <c r="C1208" s="197"/>
      <c r="D1208" s="124"/>
      <c r="E1208" s="198"/>
      <c r="F1208" s="198"/>
      <c r="G1208" s="197"/>
      <c r="H1208" s="199"/>
      <c r="I1208" s="199"/>
      <c r="J1208" s="197"/>
      <c r="K1208" s="200"/>
      <c r="L1208" s="54"/>
      <c r="M1208" s="201"/>
      <c r="N1208" s="124"/>
      <c r="O1208" s="124"/>
      <c r="P1208" s="202"/>
      <c r="Q1208" s="84"/>
      <c r="R1208" s="190"/>
      <c r="S1208" s="196"/>
    </row>
    <row r="1209" spans="1:19" ht="37.15" customHeight="1">
      <c r="A1209" s="196"/>
      <c r="B1209" s="197"/>
      <c r="C1209" s="197"/>
      <c r="D1209" s="124"/>
      <c r="E1209" s="198"/>
      <c r="F1209" s="198"/>
      <c r="G1209" s="197"/>
      <c r="H1209" s="199"/>
      <c r="I1209" s="199"/>
      <c r="J1209" s="197"/>
      <c r="K1209" s="200"/>
      <c r="L1209" s="54"/>
      <c r="M1209" s="201"/>
      <c r="N1209" s="124"/>
      <c r="O1209" s="124"/>
      <c r="P1209" s="202"/>
      <c r="Q1209" s="84"/>
      <c r="R1209" s="190"/>
      <c r="S1209" s="196"/>
    </row>
    <row r="1210" spans="1:19" ht="37.15" customHeight="1">
      <c r="A1210" s="196"/>
      <c r="B1210" s="197"/>
      <c r="C1210" s="197"/>
      <c r="D1210" s="124"/>
      <c r="E1210" s="198"/>
      <c r="F1210" s="198"/>
      <c r="G1210" s="197"/>
      <c r="H1210" s="199"/>
      <c r="I1210" s="199"/>
      <c r="J1210" s="197"/>
      <c r="K1210" s="200"/>
      <c r="L1210" s="54"/>
      <c r="M1210" s="201"/>
      <c r="N1210" s="124"/>
      <c r="O1210" s="124"/>
      <c r="P1210" s="202"/>
      <c r="Q1210" s="84"/>
      <c r="R1210" s="190"/>
      <c r="S1210" s="196"/>
    </row>
    <row r="1211" spans="1:19" ht="37.15" customHeight="1">
      <c r="A1211" s="196"/>
      <c r="B1211" s="197"/>
      <c r="C1211" s="197"/>
      <c r="D1211" s="124"/>
      <c r="E1211" s="198"/>
      <c r="F1211" s="198"/>
      <c r="G1211" s="197"/>
      <c r="H1211" s="199"/>
      <c r="I1211" s="199"/>
      <c r="J1211" s="197"/>
      <c r="K1211" s="200"/>
      <c r="L1211" s="54"/>
      <c r="M1211" s="201"/>
      <c r="N1211" s="124"/>
      <c r="O1211" s="124"/>
      <c r="P1211" s="202"/>
      <c r="Q1211" s="84"/>
      <c r="R1211" s="190"/>
      <c r="S1211" s="196"/>
    </row>
    <row r="1212" spans="1:19" ht="37.15" customHeight="1">
      <c r="A1212" s="196"/>
      <c r="B1212" s="197"/>
      <c r="C1212" s="197"/>
      <c r="D1212" s="124"/>
      <c r="E1212" s="198"/>
      <c r="F1212" s="198"/>
      <c r="G1212" s="197"/>
      <c r="H1212" s="199"/>
      <c r="I1212" s="199"/>
      <c r="J1212" s="197"/>
      <c r="K1212" s="200"/>
      <c r="L1212" s="54"/>
      <c r="M1212" s="201"/>
      <c r="N1212" s="124"/>
      <c r="O1212" s="124"/>
      <c r="P1212" s="202"/>
      <c r="Q1212" s="84"/>
      <c r="R1212" s="190"/>
      <c r="S1212" s="196"/>
    </row>
    <row r="1213" spans="1:19" ht="37.15" customHeight="1">
      <c r="A1213" s="196"/>
      <c r="B1213" s="197"/>
      <c r="C1213" s="197"/>
      <c r="D1213" s="124"/>
      <c r="E1213" s="198"/>
      <c r="F1213" s="198"/>
      <c r="G1213" s="197"/>
      <c r="H1213" s="199"/>
      <c r="I1213" s="199"/>
      <c r="J1213" s="197"/>
      <c r="K1213" s="200"/>
      <c r="L1213" s="54"/>
      <c r="M1213" s="201"/>
      <c r="N1213" s="124"/>
      <c r="O1213" s="124"/>
      <c r="P1213" s="202"/>
      <c r="Q1213" s="84"/>
      <c r="R1213" s="190"/>
      <c r="S1213" s="196"/>
    </row>
    <row r="1214" spans="1:19" ht="37.15" customHeight="1">
      <c r="A1214" s="196"/>
      <c r="B1214" s="197"/>
      <c r="C1214" s="197"/>
      <c r="D1214" s="124"/>
      <c r="E1214" s="198"/>
      <c r="F1214" s="198"/>
      <c r="G1214" s="197"/>
      <c r="H1214" s="199"/>
      <c r="I1214" s="199"/>
      <c r="J1214" s="197"/>
      <c r="K1214" s="200"/>
      <c r="L1214" s="54"/>
      <c r="M1214" s="201"/>
      <c r="N1214" s="124"/>
      <c r="O1214" s="124"/>
      <c r="P1214" s="202"/>
      <c r="Q1214" s="84"/>
      <c r="R1214" s="190"/>
      <c r="S1214" s="196"/>
    </row>
    <row r="1215" spans="1:19" ht="37.15" customHeight="1">
      <c r="A1215" s="196"/>
      <c r="B1215" s="197"/>
      <c r="C1215" s="197"/>
      <c r="D1215" s="124"/>
      <c r="E1215" s="198"/>
      <c r="F1215" s="198"/>
      <c r="G1215" s="197"/>
      <c r="H1215" s="199"/>
      <c r="I1215" s="199"/>
      <c r="J1215" s="197"/>
      <c r="K1215" s="200"/>
      <c r="L1215" s="54"/>
      <c r="M1215" s="201"/>
      <c r="N1215" s="124"/>
      <c r="O1215" s="124"/>
      <c r="P1215" s="202"/>
      <c r="Q1215" s="84"/>
      <c r="R1215" s="190"/>
      <c r="S1215" s="196"/>
    </row>
    <row r="1216" spans="1:19" ht="37.15" customHeight="1">
      <c r="A1216" s="196"/>
      <c r="B1216" s="197"/>
      <c r="C1216" s="197"/>
      <c r="D1216" s="124"/>
      <c r="E1216" s="198"/>
      <c r="F1216" s="198"/>
      <c r="G1216" s="197"/>
      <c r="H1216" s="199"/>
      <c r="I1216" s="199"/>
      <c r="J1216" s="197"/>
      <c r="K1216" s="200"/>
      <c r="L1216" s="54"/>
      <c r="M1216" s="201"/>
      <c r="N1216" s="124"/>
      <c r="O1216" s="124"/>
      <c r="P1216" s="202"/>
      <c r="Q1216" s="84"/>
      <c r="R1216" s="190"/>
      <c r="S1216" s="196"/>
    </row>
    <row r="1217" spans="1:19" ht="37.15" customHeight="1">
      <c r="A1217" s="196"/>
      <c r="B1217" s="197"/>
      <c r="C1217" s="197"/>
      <c r="D1217" s="124"/>
      <c r="E1217" s="198"/>
      <c r="F1217" s="198"/>
      <c r="G1217" s="197"/>
      <c r="H1217" s="199"/>
      <c r="I1217" s="199"/>
      <c r="J1217" s="197"/>
      <c r="K1217" s="200"/>
      <c r="L1217" s="54"/>
      <c r="M1217" s="201"/>
      <c r="N1217" s="124"/>
      <c r="O1217" s="124"/>
      <c r="P1217" s="202"/>
      <c r="Q1217" s="84"/>
      <c r="R1217" s="190"/>
      <c r="S1217" s="196"/>
    </row>
    <row r="1218" spans="1:19" ht="37.15" customHeight="1">
      <c r="A1218" s="196"/>
      <c r="B1218" s="197"/>
      <c r="C1218" s="197"/>
      <c r="D1218" s="124"/>
      <c r="E1218" s="198"/>
      <c r="F1218" s="198"/>
      <c r="G1218" s="197"/>
      <c r="H1218" s="199"/>
      <c r="I1218" s="199"/>
      <c r="J1218" s="197"/>
      <c r="K1218" s="200"/>
      <c r="L1218" s="54"/>
      <c r="M1218" s="201"/>
      <c r="N1218" s="124"/>
      <c r="O1218" s="124"/>
      <c r="P1218" s="202"/>
      <c r="Q1218" s="84"/>
      <c r="R1218" s="190"/>
      <c r="S1218" s="196"/>
    </row>
    <row r="1219" spans="1:19" ht="37.15" customHeight="1">
      <c r="A1219" s="196"/>
      <c r="B1219" s="197"/>
      <c r="C1219" s="197"/>
      <c r="D1219" s="124"/>
      <c r="E1219" s="198"/>
      <c r="F1219" s="198"/>
      <c r="G1219" s="197"/>
      <c r="H1219" s="199"/>
      <c r="I1219" s="199"/>
      <c r="J1219" s="197"/>
      <c r="K1219" s="200"/>
      <c r="L1219" s="54"/>
      <c r="M1219" s="201"/>
      <c r="N1219" s="124"/>
      <c r="O1219" s="124"/>
      <c r="P1219" s="202"/>
      <c r="Q1219" s="84"/>
      <c r="R1219" s="190"/>
      <c r="S1219" s="196"/>
    </row>
    <row r="1220" spans="1:19" ht="37.15" customHeight="1">
      <c r="A1220" s="196"/>
      <c r="B1220" s="197"/>
      <c r="C1220" s="197"/>
      <c r="D1220" s="124"/>
      <c r="E1220" s="198"/>
      <c r="F1220" s="198"/>
      <c r="G1220" s="197"/>
      <c r="H1220" s="199"/>
      <c r="I1220" s="199"/>
      <c r="J1220" s="197"/>
      <c r="K1220" s="200"/>
      <c r="L1220" s="54"/>
      <c r="M1220" s="201"/>
      <c r="N1220" s="124"/>
      <c r="O1220" s="124"/>
      <c r="P1220" s="202"/>
      <c r="Q1220" s="84"/>
      <c r="R1220" s="190"/>
      <c r="S1220" s="196"/>
    </row>
    <row r="1221" spans="1:19" ht="37.15" customHeight="1">
      <c r="A1221" s="196"/>
      <c r="B1221" s="197"/>
      <c r="C1221" s="197"/>
      <c r="D1221" s="124"/>
      <c r="E1221" s="198"/>
      <c r="F1221" s="198"/>
      <c r="G1221" s="197"/>
      <c r="H1221" s="199"/>
      <c r="I1221" s="199"/>
      <c r="J1221" s="197"/>
      <c r="K1221" s="200"/>
      <c r="L1221" s="54"/>
      <c r="M1221" s="201"/>
      <c r="N1221" s="124"/>
      <c r="O1221" s="124"/>
      <c r="P1221" s="202"/>
      <c r="Q1221" s="84"/>
      <c r="R1221" s="190"/>
      <c r="S1221" s="196"/>
    </row>
    <row r="1222" spans="1:19" ht="37.15" customHeight="1">
      <c r="A1222" s="196"/>
      <c r="B1222" s="197"/>
      <c r="C1222" s="197"/>
      <c r="D1222" s="124"/>
      <c r="E1222" s="198"/>
      <c r="F1222" s="198"/>
      <c r="G1222" s="197"/>
      <c r="H1222" s="199"/>
      <c r="I1222" s="199"/>
      <c r="J1222" s="197"/>
      <c r="K1222" s="200"/>
      <c r="L1222" s="54"/>
      <c r="M1222" s="201"/>
      <c r="N1222" s="124"/>
      <c r="O1222" s="124"/>
      <c r="P1222" s="202"/>
      <c r="Q1222" s="84"/>
      <c r="R1222" s="190"/>
      <c r="S1222" s="196"/>
    </row>
    <row r="1223" spans="1:19" ht="37.15" customHeight="1">
      <c r="A1223" s="196"/>
      <c r="B1223" s="197"/>
      <c r="C1223" s="197"/>
      <c r="D1223" s="124"/>
      <c r="E1223" s="198"/>
      <c r="F1223" s="198"/>
      <c r="G1223" s="197"/>
      <c r="H1223" s="199"/>
      <c r="I1223" s="199"/>
      <c r="J1223" s="197"/>
      <c r="K1223" s="200"/>
      <c r="L1223" s="54"/>
      <c r="M1223" s="201"/>
      <c r="N1223" s="124"/>
      <c r="O1223" s="124"/>
      <c r="P1223" s="202"/>
      <c r="Q1223" s="84"/>
      <c r="R1223" s="190"/>
      <c r="S1223" s="196"/>
    </row>
    <row r="1224" spans="1:19" ht="37.15" customHeight="1">
      <c r="A1224" s="196"/>
      <c r="B1224" s="197"/>
      <c r="C1224" s="197"/>
      <c r="D1224" s="124"/>
      <c r="E1224" s="198"/>
      <c r="F1224" s="198"/>
      <c r="G1224" s="197"/>
      <c r="H1224" s="199"/>
      <c r="I1224" s="199"/>
      <c r="J1224" s="197"/>
      <c r="K1224" s="200"/>
      <c r="L1224" s="54"/>
      <c r="M1224" s="201"/>
      <c r="N1224" s="124"/>
      <c r="O1224" s="124"/>
      <c r="P1224" s="202"/>
      <c r="Q1224" s="84"/>
      <c r="R1224" s="190"/>
      <c r="S1224" s="196"/>
    </row>
    <row r="1225" spans="1:19" ht="37.15" customHeight="1">
      <c r="A1225" s="196"/>
      <c r="B1225" s="197"/>
      <c r="C1225" s="197"/>
      <c r="D1225" s="124"/>
      <c r="E1225" s="198"/>
      <c r="F1225" s="198"/>
      <c r="G1225" s="197"/>
      <c r="H1225" s="199"/>
      <c r="I1225" s="199"/>
      <c r="J1225" s="197"/>
      <c r="K1225" s="200"/>
      <c r="L1225" s="54"/>
      <c r="M1225" s="201"/>
      <c r="N1225" s="124"/>
      <c r="O1225" s="124"/>
      <c r="P1225" s="202"/>
      <c r="Q1225" s="84"/>
      <c r="R1225" s="190"/>
      <c r="S1225" s="196"/>
    </row>
    <row r="1226" spans="1:19" ht="37.15" customHeight="1">
      <c r="A1226" s="196"/>
      <c r="B1226" s="197"/>
      <c r="C1226" s="197"/>
      <c r="D1226" s="124"/>
      <c r="E1226" s="198"/>
      <c r="F1226" s="198"/>
      <c r="G1226" s="197"/>
      <c r="H1226" s="199"/>
      <c r="I1226" s="199"/>
      <c r="J1226" s="197"/>
      <c r="K1226" s="200"/>
      <c r="L1226" s="54"/>
      <c r="M1226" s="201"/>
      <c r="N1226" s="124"/>
      <c r="O1226" s="124"/>
      <c r="P1226" s="202"/>
      <c r="Q1226" s="84"/>
      <c r="R1226" s="190"/>
      <c r="S1226" s="196"/>
    </row>
    <row r="1227" spans="1:19" ht="37.15" customHeight="1">
      <c r="A1227" s="196"/>
      <c r="B1227" s="197"/>
      <c r="C1227" s="197"/>
      <c r="D1227" s="124"/>
      <c r="E1227" s="198"/>
      <c r="F1227" s="198"/>
      <c r="G1227" s="197"/>
      <c r="H1227" s="199"/>
      <c r="I1227" s="199"/>
      <c r="J1227" s="197"/>
      <c r="K1227" s="200"/>
      <c r="L1227" s="54"/>
      <c r="M1227" s="201"/>
      <c r="N1227" s="124"/>
      <c r="O1227" s="124"/>
      <c r="P1227" s="202"/>
      <c r="Q1227" s="84"/>
      <c r="R1227" s="190"/>
      <c r="S1227" s="196"/>
    </row>
    <row r="1228" spans="1:19" ht="37.15" customHeight="1">
      <c r="A1228" s="196"/>
      <c r="B1228" s="197"/>
      <c r="C1228" s="197"/>
      <c r="D1228" s="124"/>
      <c r="E1228" s="198"/>
      <c r="F1228" s="198"/>
      <c r="G1228" s="197"/>
      <c r="H1228" s="199"/>
      <c r="I1228" s="199"/>
      <c r="J1228" s="197"/>
      <c r="K1228" s="200"/>
      <c r="L1228" s="54"/>
      <c r="M1228" s="201"/>
      <c r="N1228" s="124"/>
      <c r="O1228" s="124"/>
      <c r="P1228" s="202"/>
      <c r="Q1228" s="84"/>
      <c r="R1228" s="190"/>
      <c r="S1228" s="196"/>
    </row>
    <row r="1229" spans="1:19" ht="37.15" customHeight="1">
      <c r="A1229" s="196"/>
      <c r="B1229" s="197"/>
      <c r="C1229" s="197"/>
      <c r="D1229" s="124"/>
      <c r="E1229" s="198"/>
      <c r="F1229" s="198"/>
      <c r="G1229" s="197"/>
      <c r="H1229" s="199"/>
      <c r="I1229" s="199"/>
      <c r="J1229" s="197"/>
      <c r="K1229" s="200"/>
      <c r="L1229" s="54"/>
      <c r="M1229" s="201"/>
      <c r="N1229" s="124"/>
      <c r="O1229" s="124"/>
      <c r="P1229" s="202"/>
      <c r="Q1229" s="84"/>
      <c r="R1229" s="190"/>
      <c r="S1229" s="196"/>
    </row>
    <row r="1230" spans="1:19" ht="37.15" customHeight="1">
      <c r="A1230" s="196"/>
      <c r="B1230" s="197"/>
      <c r="C1230" s="197"/>
      <c r="D1230" s="124"/>
      <c r="E1230" s="198"/>
      <c r="F1230" s="198"/>
      <c r="G1230" s="197"/>
      <c r="H1230" s="199"/>
      <c r="I1230" s="199"/>
      <c r="J1230" s="197"/>
      <c r="K1230" s="200"/>
      <c r="L1230" s="54"/>
      <c r="M1230" s="201"/>
      <c r="N1230" s="124"/>
      <c r="O1230" s="124"/>
      <c r="P1230" s="202"/>
      <c r="Q1230" s="84"/>
      <c r="R1230" s="190"/>
      <c r="S1230" s="196"/>
    </row>
    <row r="1231" spans="1:19" ht="37.15" customHeight="1">
      <c r="A1231" s="196"/>
      <c r="B1231" s="197"/>
      <c r="C1231" s="197"/>
      <c r="D1231" s="124"/>
      <c r="E1231" s="198"/>
      <c r="F1231" s="198"/>
      <c r="G1231" s="197"/>
      <c r="H1231" s="199"/>
      <c r="I1231" s="199"/>
      <c r="J1231" s="197"/>
      <c r="K1231" s="200"/>
      <c r="L1231" s="54"/>
      <c r="M1231" s="201"/>
      <c r="N1231" s="124"/>
      <c r="O1231" s="124"/>
      <c r="P1231" s="202"/>
      <c r="Q1231" s="84"/>
      <c r="R1231" s="190"/>
      <c r="S1231" s="196"/>
    </row>
    <row r="1232" spans="1:19" ht="37.15" customHeight="1">
      <c r="A1232" s="196"/>
      <c r="B1232" s="197"/>
      <c r="C1232" s="197"/>
      <c r="D1232" s="124"/>
      <c r="E1232" s="198"/>
      <c r="F1232" s="198"/>
      <c r="G1232" s="197"/>
      <c r="H1232" s="199"/>
      <c r="I1232" s="199"/>
      <c r="J1232" s="197"/>
      <c r="K1232" s="200"/>
      <c r="L1232" s="54"/>
      <c r="M1232" s="201"/>
      <c r="N1232" s="124"/>
      <c r="O1232" s="124"/>
      <c r="P1232" s="202"/>
      <c r="Q1232" s="84"/>
      <c r="R1232" s="190"/>
      <c r="S1232" s="196"/>
    </row>
    <row r="1233" spans="1:19" ht="37.15" customHeight="1">
      <c r="A1233" s="196"/>
      <c r="B1233" s="197"/>
      <c r="C1233" s="197"/>
      <c r="D1233" s="124"/>
      <c r="E1233" s="198"/>
      <c r="F1233" s="198"/>
      <c r="G1233" s="197"/>
      <c r="H1233" s="199"/>
      <c r="I1233" s="199"/>
      <c r="J1233" s="197"/>
      <c r="K1233" s="200"/>
      <c r="L1233" s="54"/>
      <c r="M1233" s="201"/>
      <c r="N1233" s="124"/>
      <c r="O1233" s="124"/>
      <c r="P1233" s="202"/>
      <c r="Q1233" s="84"/>
      <c r="R1233" s="190"/>
      <c r="S1233" s="196"/>
    </row>
    <row r="1234" spans="1:19" ht="37.15" customHeight="1">
      <c r="A1234" s="196"/>
      <c r="B1234" s="197"/>
      <c r="C1234" s="197"/>
      <c r="D1234" s="124"/>
      <c r="E1234" s="198"/>
      <c r="F1234" s="198"/>
      <c r="G1234" s="197"/>
      <c r="H1234" s="199"/>
      <c r="I1234" s="199"/>
      <c r="J1234" s="197"/>
      <c r="K1234" s="200"/>
      <c r="L1234" s="54"/>
      <c r="M1234" s="201"/>
      <c r="N1234" s="124"/>
      <c r="O1234" s="124"/>
      <c r="P1234" s="202"/>
      <c r="Q1234" s="84"/>
      <c r="R1234" s="190"/>
      <c r="S1234" s="196"/>
    </row>
    <row r="1235" spans="1:19" ht="37.15" customHeight="1">
      <c r="A1235" s="196"/>
      <c r="B1235" s="197"/>
      <c r="C1235" s="197"/>
      <c r="D1235" s="124"/>
      <c r="E1235" s="198"/>
      <c r="F1235" s="198"/>
      <c r="G1235" s="197"/>
      <c r="H1235" s="199"/>
      <c r="I1235" s="199"/>
      <c r="J1235" s="197"/>
      <c r="K1235" s="200"/>
      <c r="L1235" s="54"/>
      <c r="M1235" s="201"/>
      <c r="N1235" s="124"/>
      <c r="O1235" s="124"/>
      <c r="P1235" s="202"/>
      <c r="Q1235" s="84"/>
      <c r="R1235" s="190"/>
      <c r="S1235" s="196"/>
    </row>
    <row r="1236" spans="1:19" ht="37.15" customHeight="1">
      <c r="A1236" s="196"/>
      <c r="B1236" s="197"/>
      <c r="C1236" s="197"/>
      <c r="D1236" s="124"/>
      <c r="E1236" s="198"/>
      <c r="F1236" s="198"/>
      <c r="G1236" s="197"/>
      <c r="H1236" s="199"/>
      <c r="I1236" s="199"/>
      <c r="J1236" s="197"/>
      <c r="K1236" s="200"/>
      <c r="L1236" s="54"/>
      <c r="M1236" s="201"/>
      <c r="N1236" s="124"/>
      <c r="O1236" s="124"/>
      <c r="P1236" s="202"/>
      <c r="Q1236" s="84"/>
      <c r="R1236" s="190"/>
      <c r="S1236" s="196"/>
    </row>
    <row r="1237" spans="1:19" ht="37.15" customHeight="1">
      <c r="A1237" s="196"/>
      <c r="B1237" s="197"/>
      <c r="C1237" s="197"/>
      <c r="D1237" s="124"/>
      <c r="E1237" s="198"/>
      <c r="F1237" s="198"/>
      <c r="G1237" s="197"/>
      <c r="H1237" s="199"/>
      <c r="I1237" s="199"/>
      <c r="J1237" s="197"/>
      <c r="K1237" s="200"/>
      <c r="L1237" s="54"/>
      <c r="M1237" s="201"/>
      <c r="N1237" s="124"/>
      <c r="O1237" s="124"/>
      <c r="P1237" s="202"/>
      <c r="Q1237" s="84"/>
      <c r="R1237" s="190"/>
      <c r="S1237" s="196"/>
    </row>
    <row r="1238" spans="1:19" ht="37.15" customHeight="1">
      <c r="A1238" s="196"/>
      <c r="B1238" s="197"/>
      <c r="C1238" s="197"/>
      <c r="D1238" s="124"/>
      <c r="E1238" s="198"/>
      <c r="F1238" s="198"/>
      <c r="G1238" s="197"/>
      <c r="H1238" s="199"/>
      <c r="I1238" s="199"/>
      <c r="J1238" s="197"/>
      <c r="K1238" s="200"/>
      <c r="L1238" s="54"/>
      <c r="M1238" s="201"/>
      <c r="N1238" s="124"/>
      <c r="O1238" s="124"/>
      <c r="P1238" s="202"/>
      <c r="Q1238" s="84"/>
      <c r="R1238" s="190"/>
      <c r="S1238" s="196"/>
    </row>
    <row r="1239" spans="1:19" ht="37.15" customHeight="1">
      <c r="A1239" s="196"/>
      <c r="B1239" s="197"/>
      <c r="C1239" s="197"/>
      <c r="D1239" s="124"/>
      <c r="E1239" s="198"/>
      <c r="F1239" s="198"/>
      <c r="G1239" s="197"/>
      <c r="H1239" s="199"/>
      <c r="I1239" s="199"/>
      <c r="J1239" s="197"/>
      <c r="K1239" s="200"/>
      <c r="L1239" s="54"/>
      <c r="M1239" s="201"/>
      <c r="N1239" s="124"/>
      <c r="O1239" s="124"/>
      <c r="P1239" s="202"/>
      <c r="Q1239" s="84"/>
      <c r="R1239" s="190"/>
      <c r="S1239" s="196"/>
    </row>
    <row r="1240" spans="1:19" ht="37.15" customHeight="1">
      <c r="A1240" s="196"/>
      <c r="B1240" s="197"/>
      <c r="C1240" s="197"/>
      <c r="D1240" s="124"/>
      <c r="E1240" s="198"/>
      <c r="F1240" s="198"/>
      <c r="G1240" s="197"/>
      <c r="H1240" s="199"/>
      <c r="I1240" s="199"/>
      <c r="J1240" s="197"/>
      <c r="K1240" s="200"/>
      <c r="L1240" s="54"/>
      <c r="M1240" s="201"/>
      <c r="N1240" s="124"/>
      <c r="O1240" s="124"/>
      <c r="P1240" s="202"/>
      <c r="Q1240" s="84"/>
      <c r="R1240" s="190"/>
      <c r="S1240" s="196"/>
    </row>
    <row r="1241" spans="1:19" ht="37.15" customHeight="1">
      <c r="A1241" s="196"/>
      <c r="B1241" s="197"/>
      <c r="C1241" s="197"/>
      <c r="D1241" s="124"/>
      <c r="E1241" s="198"/>
      <c r="F1241" s="198"/>
      <c r="G1241" s="197"/>
      <c r="H1241" s="199"/>
      <c r="I1241" s="199"/>
      <c r="J1241" s="197"/>
      <c r="K1241" s="200"/>
      <c r="L1241" s="54"/>
      <c r="M1241" s="201"/>
      <c r="N1241" s="124"/>
      <c r="O1241" s="124"/>
      <c r="P1241" s="202"/>
      <c r="Q1241" s="84"/>
      <c r="R1241" s="190"/>
      <c r="S1241" s="196"/>
    </row>
    <row r="1242" spans="1:19" ht="37.15" customHeight="1">
      <c r="A1242" s="196"/>
      <c r="B1242" s="197"/>
      <c r="C1242" s="197"/>
      <c r="D1242" s="124"/>
      <c r="E1242" s="198"/>
      <c r="F1242" s="198"/>
      <c r="G1242" s="197"/>
      <c r="H1242" s="199"/>
      <c r="I1242" s="199"/>
      <c r="J1242" s="197"/>
      <c r="K1242" s="200"/>
      <c r="L1242" s="54"/>
      <c r="M1242" s="201"/>
      <c r="N1242" s="124"/>
      <c r="O1242" s="124"/>
      <c r="P1242" s="202"/>
      <c r="Q1242" s="84"/>
      <c r="R1242" s="190"/>
      <c r="S1242" s="196"/>
    </row>
    <row r="1243" spans="1:19" ht="37.15" customHeight="1">
      <c r="A1243" s="196"/>
      <c r="B1243" s="197"/>
      <c r="C1243" s="197"/>
      <c r="D1243" s="124"/>
      <c r="E1243" s="198"/>
      <c r="F1243" s="198"/>
      <c r="G1243" s="197"/>
      <c r="H1243" s="199"/>
      <c r="I1243" s="199"/>
      <c r="J1243" s="197"/>
      <c r="K1243" s="200"/>
      <c r="L1243" s="54"/>
      <c r="M1243" s="201"/>
      <c r="N1243" s="124"/>
      <c r="O1243" s="124"/>
      <c r="P1243" s="202"/>
      <c r="Q1243" s="84"/>
      <c r="R1243" s="190"/>
      <c r="S1243" s="196"/>
    </row>
    <row r="1244" spans="1:19" ht="37.15" customHeight="1">
      <c r="A1244" s="196"/>
      <c r="B1244" s="197"/>
      <c r="C1244" s="197"/>
      <c r="D1244" s="124"/>
      <c r="E1244" s="198"/>
      <c r="F1244" s="198"/>
      <c r="G1244" s="197"/>
      <c r="H1244" s="199"/>
      <c r="I1244" s="199"/>
      <c r="J1244" s="197"/>
      <c r="K1244" s="200"/>
      <c r="L1244" s="54"/>
      <c r="M1244" s="201"/>
      <c r="N1244" s="124"/>
      <c r="O1244" s="124"/>
      <c r="P1244" s="202"/>
      <c r="Q1244" s="84"/>
      <c r="R1244" s="190"/>
      <c r="S1244" s="196"/>
    </row>
    <row r="1245" spans="1:19" ht="37.15" customHeight="1">
      <c r="A1245" s="196"/>
      <c r="B1245" s="197"/>
      <c r="C1245" s="197"/>
      <c r="D1245" s="124"/>
      <c r="E1245" s="198"/>
      <c r="F1245" s="198"/>
      <c r="G1245" s="197"/>
      <c r="H1245" s="199"/>
      <c r="I1245" s="199"/>
      <c r="J1245" s="197"/>
      <c r="K1245" s="200"/>
      <c r="L1245" s="54"/>
      <c r="M1245" s="201"/>
      <c r="N1245" s="124"/>
      <c r="O1245" s="124"/>
      <c r="P1245" s="202"/>
      <c r="Q1245" s="84"/>
      <c r="R1245" s="190"/>
      <c r="S1245" s="196"/>
    </row>
    <row r="1246" spans="1:19" ht="37.15" customHeight="1">
      <c r="A1246" s="196"/>
      <c r="B1246" s="197"/>
      <c r="C1246" s="197"/>
      <c r="D1246" s="124"/>
      <c r="E1246" s="198"/>
      <c r="F1246" s="198"/>
      <c r="G1246" s="197"/>
      <c r="H1246" s="199"/>
      <c r="I1246" s="199"/>
      <c r="J1246" s="197"/>
      <c r="K1246" s="200"/>
      <c r="L1246" s="54"/>
      <c r="M1246" s="201"/>
      <c r="N1246" s="124"/>
      <c r="O1246" s="124"/>
      <c r="P1246" s="202"/>
      <c r="Q1246" s="84"/>
      <c r="R1246" s="190"/>
      <c r="S1246" s="196"/>
    </row>
    <row r="1247" spans="1:19" ht="37.15" customHeight="1">
      <c r="A1247" s="196"/>
      <c r="B1247" s="197"/>
      <c r="C1247" s="197"/>
      <c r="D1247" s="124"/>
      <c r="E1247" s="198"/>
      <c r="F1247" s="198"/>
      <c r="G1247" s="197"/>
      <c r="H1247" s="199"/>
      <c r="I1247" s="199"/>
      <c r="J1247" s="197"/>
      <c r="K1247" s="200"/>
      <c r="L1247" s="54"/>
      <c r="M1247" s="201"/>
      <c r="N1247" s="124"/>
      <c r="O1247" s="124"/>
      <c r="P1247" s="202"/>
      <c r="Q1247" s="84"/>
      <c r="R1247" s="190"/>
      <c r="S1247" s="196"/>
    </row>
    <row r="1248" spans="1:19" ht="37.15" customHeight="1">
      <c r="A1248" s="196"/>
      <c r="B1248" s="197"/>
      <c r="C1248" s="197"/>
      <c r="D1248" s="124"/>
      <c r="E1248" s="198"/>
      <c r="F1248" s="198"/>
      <c r="G1248" s="197"/>
      <c r="H1248" s="199"/>
      <c r="I1248" s="199"/>
      <c r="J1248" s="197"/>
      <c r="K1248" s="200"/>
      <c r="L1248" s="54"/>
      <c r="M1248" s="201"/>
      <c r="N1248" s="124"/>
      <c r="O1248" s="124"/>
      <c r="P1248" s="202"/>
      <c r="Q1248" s="84"/>
      <c r="R1248" s="190"/>
      <c r="S1248" s="196"/>
    </row>
    <row r="1249" spans="1:19" ht="37.15" customHeight="1">
      <c r="A1249" s="196"/>
      <c r="B1249" s="197"/>
      <c r="C1249" s="197"/>
      <c r="D1249" s="124"/>
      <c r="E1249" s="198"/>
      <c r="F1249" s="198"/>
      <c r="G1249" s="197"/>
      <c r="H1249" s="199"/>
      <c r="I1249" s="199"/>
      <c r="J1249" s="197"/>
      <c r="K1249" s="200"/>
      <c r="L1249" s="54"/>
      <c r="M1249" s="201"/>
      <c r="N1249" s="124"/>
      <c r="O1249" s="124"/>
      <c r="P1249" s="202"/>
      <c r="Q1249" s="84"/>
      <c r="R1249" s="190"/>
      <c r="S1249" s="196"/>
    </row>
    <row r="1250" spans="1:19" ht="37.15" customHeight="1">
      <c r="A1250" s="196"/>
      <c r="B1250" s="197"/>
      <c r="C1250" s="197"/>
      <c r="D1250" s="124"/>
      <c r="E1250" s="198"/>
      <c r="F1250" s="198"/>
      <c r="G1250" s="197"/>
      <c r="H1250" s="199"/>
      <c r="I1250" s="199"/>
      <c r="J1250" s="197"/>
      <c r="K1250" s="200"/>
      <c r="L1250" s="54"/>
      <c r="M1250" s="201"/>
      <c r="N1250" s="124"/>
      <c r="O1250" s="124"/>
      <c r="P1250" s="202"/>
      <c r="Q1250" s="84"/>
      <c r="R1250" s="190"/>
      <c r="S1250" s="196"/>
    </row>
    <row r="1251" spans="1:19" ht="37.15" customHeight="1">
      <c r="A1251" s="196"/>
      <c r="B1251" s="197"/>
      <c r="C1251" s="197"/>
      <c r="D1251" s="124"/>
      <c r="E1251" s="198"/>
      <c r="F1251" s="198"/>
      <c r="G1251" s="197"/>
      <c r="H1251" s="199"/>
      <c r="I1251" s="199"/>
      <c r="J1251" s="197"/>
      <c r="K1251" s="200"/>
      <c r="L1251" s="54"/>
      <c r="M1251" s="201"/>
      <c r="N1251" s="124"/>
      <c r="O1251" s="124"/>
      <c r="P1251" s="202"/>
      <c r="Q1251" s="84"/>
      <c r="R1251" s="190"/>
      <c r="S1251" s="196"/>
    </row>
    <row r="1252" spans="1:19" ht="37.15" customHeight="1">
      <c r="A1252" s="196"/>
      <c r="B1252" s="197"/>
      <c r="C1252" s="197"/>
      <c r="D1252" s="124"/>
      <c r="E1252" s="198"/>
      <c r="F1252" s="198"/>
      <c r="G1252" s="197"/>
      <c r="H1252" s="199"/>
      <c r="I1252" s="199"/>
      <c r="J1252" s="197"/>
      <c r="K1252" s="200"/>
      <c r="L1252" s="54"/>
      <c r="M1252" s="201"/>
      <c r="N1252" s="124"/>
      <c r="O1252" s="124"/>
      <c r="P1252" s="202"/>
      <c r="Q1252" s="84"/>
      <c r="R1252" s="190"/>
      <c r="S1252" s="196"/>
    </row>
    <row r="1253" spans="1:19" ht="37.15" customHeight="1">
      <c r="A1253" s="196"/>
      <c r="B1253" s="197"/>
      <c r="C1253" s="197"/>
      <c r="D1253" s="124"/>
      <c r="E1253" s="198"/>
      <c r="F1253" s="198"/>
      <c r="G1253" s="197"/>
      <c r="H1253" s="199"/>
      <c r="I1253" s="199"/>
      <c r="J1253" s="197"/>
      <c r="K1253" s="200"/>
      <c r="L1253" s="54"/>
      <c r="M1253" s="201"/>
      <c r="N1253" s="124"/>
      <c r="O1253" s="124"/>
      <c r="P1253" s="202"/>
      <c r="Q1253" s="84"/>
      <c r="R1253" s="190"/>
      <c r="S1253" s="196"/>
    </row>
    <row r="1254" spans="1:19" ht="37.15" customHeight="1">
      <c r="A1254" s="196"/>
      <c r="B1254" s="197"/>
      <c r="C1254" s="197"/>
      <c r="D1254" s="124"/>
      <c r="E1254" s="198"/>
      <c r="F1254" s="198"/>
      <c r="G1254" s="197"/>
      <c r="H1254" s="199"/>
      <c r="I1254" s="199"/>
      <c r="J1254" s="197"/>
      <c r="K1254" s="200"/>
      <c r="L1254" s="54"/>
      <c r="M1254" s="201"/>
      <c r="N1254" s="124"/>
      <c r="O1254" s="124"/>
      <c r="P1254" s="202"/>
      <c r="Q1254" s="84"/>
      <c r="R1254" s="190"/>
      <c r="S1254" s="196"/>
    </row>
    <row r="1255" spans="1:19" ht="37.15" customHeight="1">
      <c r="A1255" s="196"/>
      <c r="B1255" s="197"/>
      <c r="C1255" s="197"/>
      <c r="D1255" s="124"/>
      <c r="E1255" s="198"/>
      <c r="F1255" s="198"/>
      <c r="G1255" s="197"/>
      <c r="H1255" s="199"/>
      <c r="I1255" s="199"/>
      <c r="J1255" s="197"/>
      <c r="K1255" s="200"/>
      <c r="L1255" s="54"/>
      <c r="M1255" s="201"/>
      <c r="N1255" s="124"/>
      <c r="O1255" s="124"/>
      <c r="P1255" s="202"/>
      <c r="Q1255" s="84"/>
      <c r="R1255" s="190"/>
      <c r="S1255" s="196"/>
    </row>
    <row r="1256" spans="1:19" ht="37.15" customHeight="1">
      <c r="A1256" s="196"/>
      <c r="B1256" s="197"/>
      <c r="C1256" s="197"/>
      <c r="D1256" s="124"/>
      <c r="E1256" s="198"/>
      <c r="F1256" s="198"/>
      <c r="G1256" s="197"/>
      <c r="H1256" s="199"/>
      <c r="I1256" s="199"/>
      <c r="J1256" s="197"/>
      <c r="K1256" s="200"/>
      <c r="L1256" s="54"/>
      <c r="M1256" s="201"/>
      <c r="N1256" s="124"/>
      <c r="O1256" s="124"/>
      <c r="P1256" s="202"/>
      <c r="Q1256" s="84"/>
      <c r="R1256" s="190"/>
      <c r="S1256" s="196"/>
    </row>
    <row r="1257" spans="1:19" ht="37.15" customHeight="1">
      <c r="A1257" s="196"/>
      <c r="B1257" s="197"/>
      <c r="C1257" s="197"/>
      <c r="D1257" s="124"/>
      <c r="E1257" s="198"/>
      <c r="F1257" s="198"/>
      <c r="G1257" s="197"/>
      <c r="H1257" s="199"/>
      <c r="I1257" s="199"/>
      <c r="J1257" s="197"/>
      <c r="K1257" s="200"/>
      <c r="L1257" s="54"/>
      <c r="M1257" s="201"/>
      <c r="N1257" s="124"/>
      <c r="O1257" s="124"/>
      <c r="P1257" s="202"/>
      <c r="Q1257" s="84"/>
      <c r="R1257" s="190"/>
      <c r="S1257" s="196"/>
    </row>
    <row r="1258" spans="1:19" ht="37.15" customHeight="1">
      <c r="A1258" s="196"/>
      <c r="B1258" s="197"/>
      <c r="C1258" s="197"/>
      <c r="D1258" s="124"/>
      <c r="E1258" s="198"/>
      <c r="F1258" s="198"/>
      <c r="G1258" s="197"/>
      <c r="H1258" s="199"/>
      <c r="I1258" s="199"/>
      <c r="J1258" s="197"/>
      <c r="K1258" s="200"/>
      <c r="L1258" s="54"/>
      <c r="M1258" s="201"/>
      <c r="N1258" s="124"/>
      <c r="O1258" s="124"/>
      <c r="P1258" s="202"/>
      <c r="Q1258" s="84"/>
      <c r="R1258" s="190"/>
      <c r="S1258" s="196"/>
    </row>
    <row r="1259" spans="1:19" ht="37.15" customHeight="1">
      <c r="A1259" s="196"/>
      <c r="B1259" s="197"/>
      <c r="C1259" s="197"/>
      <c r="D1259" s="124"/>
      <c r="E1259" s="198"/>
      <c r="F1259" s="198"/>
      <c r="G1259" s="197"/>
      <c r="H1259" s="199"/>
      <c r="I1259" s="199"/>
      <c r="J1259" s="197"/>
      <c r="K1259" s="200"/>
      <c r="L1259" s="54"/>
      <c r="M1259" s="201"/>
      <c r="N1259" s="124"/>
      <c r="O1259" s="124"/>
      <c r="P1259" s="202"/>
      <c r="Q1259" s="84"/>
      <c r="R1259" s="190"/>
      <c r="S1259" s="196"/>
    </row>
    <row r="1260" spans="1:19" ht="37.15" customHeight="1">
      <c r="A1260" s="196"/>
      <c r="B1260" s="197"/>
      <c r="C1260" s="197"/>
      <c r="D1260" s="124"/>
      <c r="E1260" s="198"/>
      <c r="F1260" s="198"/>
      <c r="G1260" s="197"/>
      <c r="H1260" s="199"/>
      <c r="I1260" s="199"/>
      <c r="J1260" s="197"/>
      <c r="K1260" s="200"/>
      <c r="L1260" s="54"/>
      <c r="M1260" s="201"/>
      <c r="N1260" s="124"/>
      <c r="O1260" s="124"/>
      <c r="P1260" s="202"/>
      <c r="Q1260" s="84"/>
      <c r="R1260" s="190"/>
      <c r="S1260" s="196"/>
    </row>
    <row r="1261" spans="1:19" ht="37.15" customHeight="1">
      <c r="A1261" s="196"/>
      <c r="B1261" s="197"/>
      <c r="C1261" s="197"/>
      <c r="D1261" s="124"/>
      <c r="E1261" s="198"/>
      <c r="F1261" s="198"/>
      <c r="G1261" s="197"/>
      <c r="H1261" s="199"/>
      <c r="I1261" s="199"/>
      <c r="J1261" s="197"/>
      <c r="K1261" s="200"/>
      <c r="L1261" s="54"/>
      <c r="M1261" s="201"/>
      <c r="N1261" s="124"/>
      <c r="O1261" s="124"/>
      <c r="P1261" s="202"/>
      <c r="Q1261" s="84"/>
      <c r="R1261" s="190"/>
      <c r="S1261" s="196"/>
    </row>
    <row r="1262" spans="1:19" ht="37.15" customHeight="1">
      <c r="A1262" s="196"/>
      <c r="B1262" s="197"/>
      <c r="C1262" s="197"/>
      <c r="D1262" s="124"/>
      <c r="E1262" s="198"/>
      <c r="F1262" s="198"/>
      <c r="G1262" s="197"/>
      <c r="H1262" s="199"/>
      <c r="I1262" s="199"/>
      <c r="J1262" s="197"/>
      <c r="K1262" s="200"/>
      <c r="L1262" s="54"/>
      <c r="M1262" s="201"/>
      <c r="N1262" s="124"/>
      <c r="O1262" s="124"/>
      <c r="P1262" s="202"/>
      <c r="Q1262" s="84"/>
      <c r="R1262" s="190"/>
      <c r="S1262" s="196"/>
    </row>
    <row r="1263" spans="1:19" ht="37.15" customHeight="1">
      <c r="A1263" s="196"/>
      <c r="B1263" s="197"/>
      <c r="C1263" s="197"/>
      <c r="D1263" s="124"/>
      <c r="E1263" s="198"/>
      <c r="F1263" s="198"/>
      <c r="G1263" s="197"/>
      <c r="H1263" s="199"/>
      <c r="I1263" s="199"/>
      <c r="J1263" s="197"/>
      <c r="K1263" s="200"/>
      <c r="L1263" s="54"/>
      <c r="M1263" s="201"/>
      <c r="N1263" s="124"/>
      <c r="O1263" s="124"/>
      <c r="P1263" s="202"/>
      <c r="Q1263" s="84"/>
      <c r="R1263" s="190"/>
      <c r="S1263" s="196"/>
    </row>
    <row r="1264" spans="1:19" ht="37.15" customHeight="1">
      <c r="A1264" s="196"/>
      <c r="B1264" s="197"/>
      <c r="C1264" s="197"/>
      <c r="D1264" s="124"/>
      <c r="E1264" s="198"/>
      <c r="F1264" s="198"/>
      <c r="G1264" s="197"/>
      <c r="H1264" s="199"/>
      <c r="I1264" s="199"/>
      <c r="J1264" s="197"/>
      <c r="K1264" s="200"/>
      <c r="L1264" s="54"/>
      <c r="M1264" s="201"/>
      <c r="N1264" s="124"/>
      <c r="O1264" s="124"/>
      <c r="P1264" s="202"/>
      <c r="Q1264" s="84"/>
      <c r="R1264" s="190"/>
      <c r="S1264" s="196"/>
    </row>
    <row r="1265" spans="1:19" ht="37.15" customHeight="1">
      <c r="A1265" s="196"/>
      <c r="B1265" s="197"/>
      <c r="C1265" s="197"/>
      <c r="D1265" s="124"/>
      <c r="E1265" s="198"/>
      <c r="F1265" s="198"/>
      <c r="G1265" s="197"/>
      <c r="H1265" s="199"/>
      <c r="I1265" s="199"/>
      <c r="J1265" s="197"/>
      <c r="K1265" s="200"/>
      <c r="L1265" s="54"/>
      <c r="M1265" s="201"/>
      <c r="N1265" s="124"/>
      <c r="O1265" s="124"/>
      <c r="P1265" s="202"/>
      <c r="Q1265" s="84"/>
      <c r="R1265" s="190"/>
      <c r="S1265" s="196"/>
    </row>
    <row r="1266" spans="1:19" ht="37.15" customHeight="1">
      <c r="A1266" s="196"/>
      <c r="B1266" s="197"/>
      <c r="C1266" s="197"/>
      <c r="D1266" s="124"/>
      <c r="E1266" s="198"/>
      <c r="F1266" s="198"/>
      <c r="G1266" s="197"/>
      <c r="H1266" s="199"/>
      <c r="I1266" s="199"/>
      <c r="J1266" s="197"/>
      <c r="K1266" s="200"/>
      <c r="L1266" s="54"/>
      <c r="M1266" s="201"/>
      <c r="N1266" s="124"/>
      <c r="O1266" s="124"/>
      <c r="P1266" s="202"/>
      <c r="Q1266" s="84"/>
      <c r="R1266" s="190"/>
      <c r="S1266" s="196"/>
    </row>
    <row r="1267" spans="1:19" ht="37.15" customHeight="1">
      <c r="A1267" s="196"/>
      <c r="B1267" s="197"/>
      <c r="C1267" s="197"/>
      <c r="D1267" s="124"/>
      <c r="E1267" s="198"/>
      <c r="F1267" s="198"/>
      <c r="G1267" s="197"/>
      <c r="H1267" s="199"/>
      <c r="I1267" s="199"/>
      <c r="J1267" s="197"/>
      <c r="K1267" s="200"/>
      <c r="L1267" s="54"/>
      <c r="M1267" s="201"/>
      <c r="N1267" s="124"/>
      <c r="O1267" s="124"/>
      <c r="P1267" s="202"/>
      <c r="Q1267" s="84"/>
      <c r="R1267" s="190"/>
      <c r="S1267" s="196"/>
    </row>
    <row r="1268" spans="1:19" ht="37.15" customHeight="1">
      <c r="A1268" s="196"/>
      <c r="B1268" s="197"/>
      <c r="C1268" s="197"/>
      <c r="D1268" s="124"/>
      <c r="E1268" s="198"/>
      <c r="F1268" s="198"/>
      <c r="G1268" s="197"/>
      <c r="H1268" s="199"/>
      <c r="I1268" s="199"/>
      <c r="J1268" s="197"/>
      <c r="K1268" s="200"/>
      <c r="L1268" s="54"/>
      <c r="M1268" s="201"/>
      <c r="N1268" s="124"/>
      <c r="O1268" s="124"/>
      <c r="P1268" s="202"/>
      <c r="Q1268" s="84"/>
      <c r="R1268" s="190"/>
      <c r="S1268" s="196"/>
    </row>
    <row r="1269" spans="1:19" ht="37.15" customHeight="1">
      <c r="A1269" s="196"/>
      <c r="B1269" s="197"/>
      <c r="C1269" s="197"/>
      <c r="D1269" s="124"/>
      <c r="E1269" s="198"/>
      <c r="F1269" s="198"/>
      <c r="G1269" s="197"/>
      <c r="H1269" s="199"/>
      <c r="I1269" s="199"/>
      <c r="J1269" s="197"/>
      <c r="K1269" s="200"/>
      <c r="L1269" s="54"/>
      <c r="M1269" s="201"/>
      <c r="N1269" s="124"/>
      <c r="O1269" s="124"/>
      <c r="P1269" s="202"/>
      <c r="Q1269" s="84"/>
      <c r="R1269" s="190"/>
      <c r="S1269" s="196"/>
    </row>
    <row r="1270" spans="1:19" ht="37.15" customHeight="1">
      <c r="A1270" s="196"/>
      <c r="B1270" s="197"/>
      <c r="C1270" s="197"/>
      <c r="D1270" s="124"/>
      <c r="E1270" s="198"/>
      <c r="F1270" s="198"/>
      <c r="G1270" s="197"/>
      <c r="H1270" s="199"/>
      <c r="I1270" s="199"/>
      <c r="J1270" s="197"/>
      <c r="K1270" s="200"/>
      <c r="L1270" s="54"/>
      <c r="M1270" s="201"/>
      <c r="N1270" s="124"/>
      <c r="O1270" s="124"/>
      <c r="P1270" s="202"/>
      <c r="Q1270" s="84"/>
      <c r="R1270" s="190"/>
      <c r="S1270" s="196"/>
    </row>
    <row r="1271" spans="1:19" ht="37.15" customHeight="1">
      <c r="A1271" s="196"/>
      <c r="B1271" s="197"/>
      <c r="C1271" s="197"/>
      <c r="D1271" s="124"/>
      <c r="E1271" s="198"/>
      <c r="F1271" s="198"/>
      <c r="G1271" s="197"/>
      <c r="H1271" s="199"/>
      <c r="I1271" s="199"/>
      <c r="J1271" s="197"/>
      <c r="K1271" s="200"/>
      <c r="L1271" s="54"/>
      <c r="M1271" s="201"/>
      <c r="N1271" s="124"/>
      <c r="O1271" s="124"/>
      <c r="P1271" s="202"/>
      <c r="Q1271" s="84"/>
      <c r="R1271" s="190"/>
      <c r="S1271" s="196"/>
    </row>
    <row r="1272" spans="1:19" ht="37.15" customHeight="1">
      <c r="A1272" s="196"/>
      <c r="B1272" s="197"/>
      <c r="C1272" s="197"/>
      <c r="D1272" s="124"/>
      <c r="E1272" s="198"/>
      <c r="F1272" s="198"/>
      <c r="G1272" s="197"/>
      <c r="H1272" s="199"/>
      <c r="I1272" s="199"/>
      <c r="J1272" s="197"/>
      <c r="K1272" s="200"/>
      <c r="L1272" s="54"/>
      <c r="M1272" s="201"/>
      <c r="N1272" s="124"/>
      <c r="O1272" s="124"/>
      <c r="P1272" s="202"/>
      <c r="Q1272" s="84"/>
      <c r="R1272" s="190"/>
      <c r="S1272" s="196"/>
    </row>
    <row r="1273" spans="1:19" ht="37.15" customHeight="1">
      <c r="A1273" s="196"/>
      <c r="B1273" s="197"/>
      <c r="C1273" s="197"/>
      <c r="D1273" s="124"/>
      <c r="E1273" s="198"/>
      <c r="F1273" s="198"/>
      <c r="G1273" s="197"/>
      <c r="H1273" s="199"/>
      <c r="I1273" s="199"/>
      <c r="J1273" s="197"/>
      <c r="K1273" s="200"/>
      <c r="L1273" s="54"/>
      <c r="M1273" s="201"/>
      <c r="N1273" s="124"/>
      <c r="O1273" s="124"/>
      <c r="P1273" s="202"/>
      <c r="Q1273" s="84"/>
      <c r="R1273" s="190"/>
      <c r="S1273" s="196"/>
    </row>
    <row r="1274" spans="1:19" ht="37.15" customHeight="1">
      <c r="A1274" s="196"/>
      <c r="B1274" s="197"/>
      <c r="C1274" s="197"/>
      <c r="D1274" s="124"/>
      <c r="E1274" s="198"/>
      <c r="F1274" s="198"/>
      <c r="G1274" s="197"/>
      <c r="H1274" s="199"/>
      <c r="I1274" s="199"/>
      <c r="J1274" s="197"/>
      <c r="K1274" s="200"/>
      <c r="L1274" s="54"/>
      <c r="M1274" s="201"/>
      <c r="N1274" s="124"/>
      <c r="O1274" s="124"/>
      <c r="P1274" s="202"/>
      <c r="Q1274" s="84"/>
      <c r="R1274" s="190"/>
      <c r="S1274" s="196"/>
    </row>
    <row r="1275" spans="1:19" ht="37.15" customHeight="1">
      <c r="A1275" s="196"/>
      <c r="B1275" s="197"/>
      <c r="C1275" s="197"/>
      <c r="D1275" s="124"/>
      <c r="E1275" s="198"/>
      <c r="F1275" s="198"/>
      <c r="G1275" s="197"/>
      <c r="H1275" s="199"/>
      <c r="I1275" s="199"/>
      <c r="J1275" s="197"/>
      <c r="K1275" s="200"/>
      <c r="L1275" s="54"/>
      <c r="M1275" s="201"/>
      <c r="N1275" s="124"/>
      <c r="O1275" s="124"/>
      <c r="P1275" s="202"/>
      <c r="Q1275" s="84"/>
      <c r="R1275" s="190"/>
      <c r="S1275" s="196"/>
    </row>
    <row r="1276" spans="1:19" ht="37.15" customHeight="1">
      <c r="A1276" s="196"/>
      <c r="B1276" s="197"/>
      <c r="C1276" s="197"/>
      <c r="D1276" s="124"/>
      <c r="E1276" s="198"/>
      <c r="F1276" s="198"/>
      <c r="G1276" s="197"/>
      <c r="H1276" s="199"/>
      <c r="I1276" s="199"/>
      <c r="J1276" s="197"/>
      <c r="K1276" s="200"/>
      <c r="L1276" s="54"/>
      <c r="M1276" s="201"/>
      <c r="N1276" s="124"/>
      <c r="O1276" s="124"/>
      <c r="P1276" s="202"/>
      <c r="Q1276" s="84"/>
      <c r="R1276" s="190"/>
      <c r="S1276" s="196"/>
    </row>
    <row r="1277" spans="1:19" ht="37.15" customHeight="1">
      <c r="A1277" s="196"/>
      <c r="B1277" s="197"/>
      <c r="C1277" s="197"/>
      <c r="D1277" s="124"/>
      <c r="E1277" s="198"/>
      <c r="F1277" s="198"/>
      <c r="G1277" s="197"/>
      <c r="H1277" s="199"/>
      <c r="I1277" s="199"/>
      <c r="J1277" s="197"/>
      <c r="K1277" s="200"/>
      <c r="L1277" s="54"/>
      <c r="M1277" s="201"/>
      <c r="N1277" s="124"/>
      <c r="O1277" s="124"/>
      <c r="P1277" s="202"/>
      <c r="Q1277" s="84"/>
      <c r="R1277" s="190"/>
      <c r="S1277" s="196"/>
    </row>
    <row r="1278" spans="1:19" ht="37.15" customHeight="1">
      <c r="A1278" s="196"/>
      <c r="B1278" s="197"/>
      <c r="C1278" s="197"/>
      <c r="D1278" s="124"/>
      <c r="E1278" s="198"/>
      <c r="F1278" s="198"/>
      <c r="G1278" s="197"/>
      <c r="H1278" s="199"/>
      <c r="I1278" s="199"/>
      <c r="J1278" s="197"/>
      <c r="K1278" s="200"/>
      <c r="L1278" s="54"/>
      <c r="M1278" s="201"/>
      <c r="N1278" s="124"/>
      <c r="O1278" s="124"/>
      <c r="P1278" s="202"/>
      <c r="Q1278" s="84"/>
      <c r="R1278" s="190"/>
      <c r="S1278" s="196"/>
    </row>
    <row r="1279" spans="1:19" ht="37.15" customHeight="1">
      <c r="A1279" s="196"/>
      <c r="B1279" s="197"/>
      <c r="C1279" s="197"/>
      <c r="D1279" s="124"/>
      <c r="E1279" s="198"/>
      <c r="F1279" s="198"/>
      <c r="G1279" s="197"/>
      <c r="H1279" s="199"/>
      <c r="I1279" s="199"/>
      <c r="J1279" s="197"/>
      <c r="K1279" s="200"/>
      <c r="L1279" s="54"/>
      <c r="M1279" s="201"/>
      <c r="N1279" s="124"/>
      <c r="O1279" s="124"/>
      <c r="P1279" s="202"/>
      <c r="Q1279" s="84"/>
      <c r="R1279" s="190"/>
      <c r="S1279" s="196"/>
    </row>
    <row r="1280" spans="1:19" ht="37.15" customHeight="1">
      <c r="A1280" s="196"/>
      <c r="B1280" s="197"/>
      <c r="C1280" s="197"/>
      <c r="D1280" s="124"/>
      <c r="E1280" s="198"/>
      <c r="F1280" s="198"/>
      <c r="G1280" s="197"/>
      <c r="H1280" s="199"/>
      <c r="I1280" s="199"/>
      <c r="J1280" s="197"/>
      <c r="K1280" s="200"/>
      <c r="L1280" s="54"/>
      <c r="M1280" s="201"/>
      <c r="N1280" s="124"/>
      <c r="O1280" s="124"/>
      <c r="P1280" s="202"/>
      <c r="Q1280" s="84"/>
      <c r="R1280" s="190"/>
      <c r="S1280" s="196"/>
    </row>
    <row r="1281" spans="1:19" ht="37.15" customHeight="1">
      <c r="A1281" s="196"/>
      <c r="B1281" s="197"/>
      <c r="C1281" s="197"/>
      <c r="D1281" s="124"/>
      <c r="E1281" s="198"/>
      <c r="F1281" s="198"/>
      <c r="G1281" s="197"/>
      <c r="H1281" s="199"/>
      <c r="I1281" s="199"/>
      <c r="J1281" s="197"/>
      <c r="K1281" s="200"/>
      <c r="L1281" s="54"/>
      <c r="M1281" s="201"/>
      <c r="N1281" s="124"/>
      <c r="O1281" s="124"/>
      <c r="P1281" s="202"/>
      <c r="Q1281" s="84"/>
      <c r="R1281" s="190"/>
      <c r="S1281" s="196"/>
    </row>
    <row r="1282" spans="1:19" ht="37.15" customHeight="1">
      <c r="A1282" s="196"/>
      <c r="B1282" s="197"/>
      <c r="C1282" s="197"/>
      <c r="D1282" s="124"/>
      <c r="E1282" s="198"/>
      <c r="F1282" s="198"/>
      <c r="G1282" s="197"/>
      <c r="H1282" s="199"/>
      <c r="I1282" s="199"/>
      <c r="J1282" s="197"/>
      <c r="K1282" s="200"/>
      <c r="L1282" s="54"/>
      <c r="M1282" s="201"/>
      <c r="N1282" s="124"/>
      <c r="O1282" s="124"/>
      <c r="P1282" s="202"/>
      <c r="Q1282" s="84"/>
      <c r="R1282" s="190"/>
      <c r="S1282" s="196"/>
    </row>
    <row r="1283" spans="1:19" ht="37.15" customHeight="1">
      <c r="A1283" s="196"/>
      <c r="B1283" s="197"/>
      <c r="C1283" s="197"/>
      <c r="D1283" s="124"/>
      <c r="E1283" s="198"/>
      <c r="F1283" s="198"/>
      <c r="G1283" s="197"/>
      <c r="H1283" s="199"/>
      <c r="I1283" s="199"/>
      <c r="J1283" s="197"/>
      <c r="K1283" s="200"/>
      <c r="L1283" s="54"/>
      <c r="M1283" s="201"/>
      <c r="N1283" s="124"/>
      <c r="O1283" s="124"/>
      <c r="P1283" s="202"/>
      <c r="Q1283" s="84"/>
      <c r="R1283" s="190"/>
      <c r="S1283" s="196"/>
    </row>
    <row r="1284" spans="1:19" ht="37.15" customHeight="1">
      <c r="A1284" s="196"/>
      <c r="B1284" s="197"/>
      <c r="C1284" s="197"/>
      <c r="D1284" s="124"/>
      <c r="E1284" s="198"/>
      <c r="F1284" s="198"/>
      <c r="G1284" s="197"/>
      <c r="H1284" s="199"/>
      <c r="I1284" s="199"/>
      <c r="J1284" s="197"/>
      <c r="K1284" s="200"/>
      <c r="L1284" s="54"/>
      <c r="M1284" s="201"/>
      <c r="N1284" s="124"/>
      <c r="O1284" s="124"/>
      <c r="P1284" s="202"/>
      <c r="Q1284" s="84"/>
      <c r="R1284" s="190"/>
      <c r="S1284" s="196"/>
    </row>
    <row r="1285" spans="1:19" ht="37.15" customHeight="1">
      <c r="A1285" s="196"/>
      <c r="B1285" s="197"/>
      <c r="C1285" s="197"/>
      <c r="D1285" s="124"/>
      <c r="E1285" s="198"/>
      <c r="F1285" s="198"/>
      <c r="G1285" s="197"/>
      <c r="H1285" s="199"/>
      <c r="I1285" s="199"/>
      <c r="J1285" s="197"/>
      <c r="K1285" s="200"/>
      <c r="L1285" s="54"/>
      <c r="M1285" s="201"/>
      <c r="N1285" s="124"/>
      <c r="O1285" s="124"/>
      <c r="P1285" s="202"/>
      <c r="Q1285" s="84"/>
      <c r="R1285" s="190"/>
      <c r="S1285" s="196"/>
    </row>
    <row r="1286" spans="1:19" ht="37.15" customHeight="1">
      <c r="A1286" s="196"/>
      <c r="B1286" s="197"/>
      <c r="C1286" s="197"/>
      <c r="D1286" s="124"/>
      <c r="E1286" s="198"/>
      <c r="F1286" s="198"/>
      <c r="G1286" s="197"/>
      <c r="H1286" s="199"/>
      <c r="I1286" s="199"/>
      <c r="J1286" s="197"/>
      <c r="K1286" s="200"/>
      <c r="L1286" s="54"/>
      <c r="M1286" s="201"/>
      <c r="N1286" s="124"/>
      <c r="O1286" s="124"/>
      <c r="P1286" s="202"/>
      <c r="Q1286" s="84"/>
      <c r="R1286" s="190"/>
      <c r="S1286" s="196"/>
    </row>
    <row r="1287" spans="1:19" ht="37.15" customHeight="1">
      <c r="A1287" s="196"/>
      <c r="B1287" s="197"/>
      <c r="C1287" s="197"/>
      <c r="D1287" s="124"/>
      <c r="E1287" s="198"/>
      <c r="F1287" s="198"/>
      <c r="G1287" s="197"/>
      <c r="H1287" s="199"/>
      <c r="I1287" s="199"/>
      <c r="J1287" s="197"/>
      <c r="K1287" s="200"/>
      <c r="L1287" s="54"/>
      <c r="M1287" s="201"/>
      <c r="N1287" s="124"/>
      <c r="O1287" s="124"/>
      <c r="P1287" s="202"/>
      <c r="Q1287" s="84"/>
      <c r="R1287" s="190"/>
      <c r="S1287" s="196"/>
    </row>
    <row r="1288" spans="1:19" ht="37.15" customHeight="1">
      <c r="A1288" s="196"/>
      <c r="B1288" s="197"/>
      <c r="C1288" s="197"/>
      <c r="D1288" s="124"/>
      <c r="E1288" s="198"/>
      <c r="F1288" s="198"/>
      <c r="G1288" s="197"/>
      <c r="H1288" s="199"/>
      <c r="I1288" s="199"/>
      <c r="J1288" s="197"/>
      <c r="K1288" s="200"/>
      <c r="L1288" s="54"/>
      <c r="M1288" s="201"/>
      <c r="N1288" s="124"/>
      <c r="O1288" s="124"/>
      <c r="P1288" s="202"/>
      <c r="Q1288" s="84"/>
      <c r="R1288" s="190"/>
      <c r="S1288" s="196"/>
    </row>
    <row r="1289" spans="1:19" ht="37.15" customHeight="1">
      <c r="A1289" s="196"/>
      <c r="B1289" s="197"/>
      <c r="C1289" s="197"/>
      <c r="D1289" s="124"/>
      <c r="E1289" s="198"/>
      <c r="F1289" s="198"/>
      <c r="G1289" s="197"/>
      <c r="H1289" s="199"/>
      <c r="I1289" s="199"/>
      <c r="J1289" s="197"/>
      <c r="K1289" s="200"/>
      <c r="L1289" s="54"/>
      <c r="M1289" s="201"/>
      <c r="N1289" s="124"/>
      <c r="O1289" s="124"/>
      <c r="P1289" s="202"/>
      <c r="Q1289" s="84"/>
      <c r="R1289" s="190"/>
      <c r="S1289" s="196"/>
    </row>
    <row r="1290" spans="1:19" ht="37.15" customHeight="1">
      <c r="A1290" s="196"/>
      <c r="B1290" s="197"/>
      <c r="C1290" s="197"/>
      <c r="D1290" s="124"/>
      <c r="E1290" s="198"/>
      <c r="F1290" s="198"/>
      <c r="G1290" s="197"/>
      <c r="H1290" s="199"/>
      <c r="I1290" s="199"/>
      <c r="J1290" s="197"/>
      <c r="K1290" s="200"/>
      <c r="L1290" s="54"/>
      <c r="M1290" s="201"/>
      <c r="N1290" s="124"/>
      <c r="O1290" s="124"/>
      <c r="P1290" s="202"/>
      <c r="Q1290" s="84"/>
      <c r="R1290" s="190"/>
      <c r="S1290" s="196"/>
    </row>
    <row r="1291" spans="1:19" ht="37.15" customHeight="1">
      <c r="A1291" s="196"/>
      <c r="B1291" s="197"/>
      <c r="C1291" s="197"/>
      <c r="D1291" s="124"/>
      <c r="E1291" s="198"/>
      <c r="F1291" s="198"/>
      <c r="G1291" s="197"/>
      <c r="H1291" s="199"/>
      <c r="I1291" s="199"/>
      <c r="J1291" s="197"/>
      <c r="K1291" s="200"/>
      <c r="L1291" s="54"/>
      <c r="M1291" s="201"/>
      <c r="N1291" s="124"/>
      <c r="O1291" s="124"/>
      <c r="P1291" s="202"/>
      <c r="Q1291" s="84"/>
      <c r="R1291" s="190"/>
      <c r="S1291" s="196"/>
    </row>
    <row r="1292" spans="1:19" ht="37.15" customHeight="1">
      <c r="A1292" s="196"/>
      <c r="B1292" s="197"/>
      <c r="C1292" s="197"/>
      <c r="D1292" s="124"/>
      <c r="E1292" s="198"/>
      <c r="F1292" s="198"/>
      <c r="G1292" s="197"/>
      <c r="H1292" s="199"/>
      <c r="I1292" s="199"/>
      <c r="J1292" s="197"/>
      <c r="K1292" s="200"/>
      <c r="L1292" s="54"/>
      <c r="M1292" s="201"/>
      <c r="N1292" s="124"/>
      <c r="O1292" s="124"/>
      <c r="P1292" s="202"/>
      <c r="Q1292" s="84"/>
      <c r="R1292" s="190"/>
      <c r="S1292" s="196"/>
    </row>
    <row r="1293" spans="1:19" ht="37.15" customHeight="1">
      <c r="A1293" s="196"/>
      <c r="B1293" s="197"/>
      <c r="C1293" s="197"/>
      <c r="D1293" s="124"/>
      <c r="E1293" s="198"/>
      <c r="F1293" s="198"/>
      <c r="G1293" s="197"/>
      <c r="H1293" s="199"/>
      <c r="I1293" s="199"/>
      <c r="J1293" s="197"/>
      <c r="K1293" s="200"/>
      <c r="L1293" s="54"/>
      <c r="M1293" s="201"/>
      <c r="N1293" s="124"/>
      <c r="O1293" s="124"/>
      <c r="P1293" s="202"/>
      <c r="Q1293" s="84"/>
      <c r="R1293" s="190"/>
      <c r="S1293" s="196"/>
    </row>
    <row r="1294" spans="1:19" ht="37.15" customHeight="1">
      <c r="A1294" s="196"/>
      <c r="B1294" s="197"/>
      <c r="C1294" s="197"/>
      <c r="D1294" s="124"/>
      <c r="E1294" s="198"/>
      <c r="F1294" s="198"/>
      <c r="G1294" s="197"/>
      <c r="H1294" s="199"/>
      <c r="I1294" s="199"/>
      <c r="J1294" s="197"/>
      <c r="K1294" s="200"/>
      <c r="L1294" s="54"/>
      <c r="M1294" s="201"/>
      <c r="N1294" s="124"/>
      <c r="O1294" s="124"/>
      <c r="P1294" s="202"/>
      <c r="Q1294" s="84"/>
      <c r="R1294" s="190"/>
      <c r="S1294" s="196"/>
    </row>
    <row r="1295" spans="1:19" ht="37.15" customHeight="1">
      <c r="A1295" s="196"/>
      <c r="B1295" s="197"/>
      <c r="C1295" s="197"/>
      <c r="D1295" s="124"/>
      <c r="E1295" s="198"/>
      <c r="F1295" s="198"/>
      <c r="G1295" s="197"/>
      <c r="H1295" s="199"/>
      <c r="I1295" s="199"/>
      <c r="J1295" s="197"/>
      <c r="K1295" s="200"/>
      <c r="L1295" s="54"/>
      <c r="M1295" s="201"/>
      <c r="N1295" s="124"/>
      <c r="O1295" s="124"/>
      <c r="P1295" s="202"/>
      <c r="Q1295" s="84"/>
      <c r="R1295" s="190"/>
      <c r="S1295" s="196"/>
    </row>
    <row r="1296" spans="1:19" ht="37.15" customHeight="1">
      <c r="A1296" s="196"/>
      <c r="B1296" s="197"/>
      <c r="C1296" s="197"/>
      <c r="D1296" s="124"/>
      <c r="E1296" s="198"/>
      <c r="F1296" s="198"/>
      <c r="G1296" s="197"/>
      <c r="H1296" s="199"/>
      <c r="I1296" s="199"/>
      <c r="J1296" s="197"/>
      <c r="K1296" s="200"/>
      <c r="L1296" s="54"/>
      <c r="M1296" s="201"/>
      <c r="N1296" s="124"/>
      <c r="O1296" s="124"/>
      <c r="P1296" s="202"/>
      <c r="Q1296" s="84"/>
      <c r="R1296" s="190"/>
      <c r="S1296" s="196"/>
    </row>
    <row r="1297" spans="1:19" ht="37.15" customHeight="1">
      <c r="A1297" s="196"/>
      <c r="B1297" s="197"/>
      <c r="C1297" s="197"/>
      <c r="D1297" s="124"/>
      <c r="E1297" s="198"/>
      <c r="F1297" s="198"/>
      <c r="G1297" s="197"/>
      <c r="H1297" s="199"/>
      <c r="I1297" s="199"/>
      <c r="J1297" s="197"/>
      <c r="K1297" s="200"/>
      <c r="L1297" s="54"/>
      <c r="M1297" s="201"/>
      <c r="N1297" s="124"/>
      <c r="O1297" s="124"/>
      <c r="P1297" s="202"/>
      <c r="Q1297" s="84"/>
      <c r="R1297" s="190"/>
      <c r="S1297" s="196"/>
    </row>
    <row r="1298" spans="1:19" ht="37.15" customHeight="1">
      <c r="A1298" s="196"/>
      <c r="B1298" s="197"/>
      <c r="C1298" s="197"/>
      <c r="D1298" s="124"/>
      <c r="E1298" s="198"/>
      <c r="F1298" s="198"/>
      <c r="G1298" s="197"/>
      <c r="H1298" s="199"/>
      <c r="I1298" s="199"/>
      <c r="J1298" s="197"/>
      <c r="K1298" s="200"/>
      <c r="L1298" s="54"/>
      <c r="M1298" s="201"/>
      <c r="N1298" s="124"/>
      <c r="O1298" s="124"/>
      <c r="P1298" s="202"/>
      <c r="Q1298" s="84"/>
      <c r="R1298" s="190"/>
      <c r="S1298" s="196"/>
    </row>
    <row r="1299" spans="1:19" ht="37.15" customHeight="1">
      <c r="A1299" s="196"/>
      <c r="B1299" s="197"/>
      <c r="C1299" s="197"/>
      <c r="D1299" s="124"/>
      <c r="E1299" s="198"/>
      <c r="F1299" s="198"/>
      <c r="G1299" s="197"/>
      <c r="H1299" s="199"/>
      <c r="I1299" s="199"/>
      <c r="J1299" s="197"/>
      <c r="K1299" s="200"/>
      <c r="L1299" s="54"/>
      <c r="M1299" s="201"/>
      <c r="N1299" s="124"/>
      <c r="O1299" s="124"/>
      <c r="P1299" s="202"/>
      <c r="Q1299" s="84"/>
      <c r="R1299" s="190"/>
      <c r="S1299" s="196"/>
    </row>
    <row r="1300" spans="1:19" ht="37.15" customHeight="1">
      <c r="A1300" s="196"/>
      <c r="B1300" s="197"/>
      <c r="C1300" s="197"/>
      <c r="D1300" s="124"/>
      <c r="E1300" s="198"/>
      <c r="F1300" s="198"/>
      <c r="G1300" s="197"/>
      <c r="H1300" s="199"/>
      <c r="I1300" s="199"/>
      <c r="J1300" s="197"/>
      <c r="K1300" s="200"/>
      <c r="L1300" s="54"/>
      <c r="M1300" s="201"/>
      <c r="N1300" s="124"/>
      <c r="O1300" s="124"/>
      <c r="P1300" s="202"/>
      <c r="Q1300" s="84"/>
      <c r="R1300" s="190"/>
      <c r="S1300" s="196"/>
    </row>
    <row r="1301" spans="1:19" ht="37.15" customHeight="1">
      <c r="A1301" s="196"/>
      <c r="B1301" s="197"/>
      <c r="C1301" s="197"/>
      <c r="D1301" s="124"/>
      <c r="E1301" s="198"/>
      <c r="F1301" s="198"/>
      <c r="G1301" s="197"/>
      <c r="H1301" s="199"/>
      <c r="I1301" s="199"/>
      <c r="J1301" s="197"/>
      <c r="K1301" s="200"/>
      <c r="L1301" s="54"/>
      <c r="M1301" s="201"/>
      <c r="N1301" s="124"/>
      <c r="O1301" s="124"/>
      <c r="P1301" s="202"/>
      <c r="Q1301" s="84"/>
      <c r="R1301" s="190"/>
      <c r="S1301" s="196"/>
    </row>
    <row r="1302" spans="1:19" ht="37.15" customHeight="1">
      <c r="A1302" s="196"/>
      <c r="B1302" s="197"/>
      <c r="C1302" s="197"/>
      <c r="D1302" s="124"/>
      <c r="E1302" s="198"/>
      <c r="F1302" s="198"/>
      <c r="G1302" s="197"/>
      <c r="H1302" s="199"/>
      <c r="I1302" s="199"/>
      <c r="J1302" s="197"/>
      <c r="K1302" s="200"/>
      <c r="L1302" s="54"/>
      <c r="M1302" s="201"/>
      <c r="N1302" s="124"/>
      <c r="O1302" s="124"/>
      <c r="P1302" s="202"/>
      <c r="Q1302" s="84"/>
      <c r="R1302" s="190"/>
      <c r="S1302" s="196"/>
    </row>
    <row r="1303" spans="1:19" ht="37.15" customHeight="1">
      <c r="A1303" s="196"/>
      <c r="B1303" s="197"/>
      <c r="C1303" s="197"/>
      <c r="D1303" s="124"/>
      <c r="E1303" s="198"/>
      <c r="F1303" s="198"/>
      <c r="G1303" s="197"/>
      <c r="H1303" s="199"/>
      <c r="I1303" s="199"/>
      <c r="J1303" s="197"/>
      <c r="K1303" s="200"/>
      <c r="L1303" s="54"/>
      <c r="M1303" s="201"/>
      <c r="N1303" s="124"/>
      <c r="O1303" s="124"/>
      <c r="P1303" s="202"/>
      <c r="Q1303" s="84"/>
      <c r="R1303" s="190"/>
      <c r="S1303" s="196"/>
    </row>
    <row r="1304" spans="1:19" ht="37.15" customHeight="1">
      <c r="A1304" s="196"/>
      <c r="B1304" s="197"/>
      <c r="C1304" s="197"/>
      <c r="D1304" s="124"/>
      <c r="E1304" s="198"/>
      <c r="F1304" s="198"/>
      <c r="G1304" s="197"/>
      <c r="H1304" s="199"/>
      <c r="I1304" s="199"/>
      <c r="J1304" s="197"/>
      <c r="K1304" s="200"/>
      <c r="L1304" s="54"/>
      <c r="M1304" s="201"/>
      <c r="N1304" s="124"/>
      <c r="O1304" s="124"/>
      <c r="P1304" s="202"/>
      <c r="Q1304" s="84"/>
      <c r="R1304" s="190"/>
      <c r="S1304" s="196"/>
    </row>
    <row r="1305" spans="1:19" ht="37.15" customHeight="1">
      <c r="A1305" s="196"/>
      <c r="B1305" s="197"/>
      <c r="C1305" s="197"/>
      <c r="D1305" s="124"/>
      <c r="E1305" s="198"/>
      <c r="F1305" s="198"/>
      <c r="G1305" s="197"/>
      <c r="H1305" s="199"/>
      <c r="I1305" s="199"/>
      <c r="J1305" s="197"/>
      <c r="K1305" s="200"/>
      <c r="L1305" s="54"/>
      <c r="M1305" s="201"/>
      <c r="N1305" s="124"/>
      <c r="O1305" s="124"/>
      <c r="P1305" s="202"/>
      <c r="Q1305" s="84"/>
      <c r="R1305" s="190"/>
      <c r="S1305" s="196"/>
    </row>
    <row r="1306" spans="1:19" ht="37.15" customHeight="1">
      <c r="A1306" s="196"/>
      <c r="B1306" s="197"/>
      <c r="C1306" s="197"/>
      <c r="D1306" s="124"/>
      <c r="E1306" s="198"/>
      <c r="F1306" s="198"/>
      <c r="G1306" s="197"/>
      <c r="H1306" s="199"/>
      <c r="I1306" s="199"/>
      <c r="J1306" s="197"/>
      <c r="K1306" s="200"/>
      <c r="L1306" s="54"/>
      <c r="M1306" s="201"/>
      <c r="N1306" s="124"/>
      <c r="O1306" s="124"/>
      <c r="P1306" s="202"/>
      <c r="Q1306" s="84"/>
      <c r="R1306" s="190"/>
      <c r="S1306" s="196"/>
    </row>
    <row r="1307" spans="1:19" ht="37.15" customHeight="1">
      <c r="A1307" s="196"/>
      <c r="B1307" s="197"/>
      <c r="C1307" s="197"/>
      <c r="D1307" s="124"/>
      <c r="E1307" s="198"/>
      <c r="F1307" s="198"/>
      <c r="G1307" s="197"/>
      <c r="H1307" s="199"/>
      <c r="I1307" s="199"/>
      <c r="J1307" s="197"/>
      <c r="K1307" s="200"/>
      <c r="L1307" s="54"/>
      <c r="M1307" s="201"/>
      <c r="N1307" s="124"/>
      <c r="O1307" s="124"/>
      <c r="P1307" s="202"/>
      <c r="Q1307" s="84"/>
      <c r="R1307" s="190"/>
      <c r="S1307" s="196"/>
    </row>
    <row r="1308" spans="1:19" ht="37.15" customHeight="1">
      <c r="A1308" s="196"/>
      <c r="B1308" s="197"/>
      <c r="C1308" s="197"/>
      <c r="D1308" s="124"/>
      <c r="E1308" s="198"/>
      <c r="F1308" s="198"/>
      <c r="G1308" s="197"/>
      <c r="H1308" s="199"/>
      <c r="I1308" s="199"/>
      <c r="J1308" s="197"/>
      <c r="K1308" s="200"/>
      <c r="L1308" s="54"/>
      <c r="M1308" s="201"/>
      <c r="N1308" s="124"/>
      <c r="O1308" s="124"/>
      <c r="P1308" s="202"/>
      <c r="Q1308" s="84"/>
      <c r="R1308" s="190"/>
      <c r="S1308" s="196"/>
    </row>
    <row r="1309" spans="1:19" ht="37.15" customHeight="1">
      <c r="A1309" s="196"/>
      <c r="B1309" s="197"/>
      <c r="C1309" s="197"/>
      <c r="D1309" s="124"/>
      <c r="E1309" s="198"/>
      <c r="F1309" s="198"/>
      <c r="G1309" s="197"/>
      <c r="H1309" s="199"/>
      <c r="I1309" s="199"/>
      <c r="J1309" s="197"/>
      <c r="K1309" s="200"/>
      <c r="L1309" s="54"/>
      <c r="M1309" s="201"/>
      <c r="N1309" s="124"/>
      <c r="O1309" s="124"/>
      <c r="P1309" s="202"/>
      <c r="Q1309" s="84"/>
      <c r="R1309" s="190"/>
      <c r="S1309" s="196"/>
    </row>
    <row r="1310" spans="1:19" ht="37.15" customHeight="1">
      <c r="A1310" s="196"/>
      <c r="B1310" s="197"/>
      <c r="C1310" s="197"/>
      <c r="D1310" s="124"/>
      <c r="E1310" s="198"/>
      <c r="F1310" s="198"/>
      <c r="G1310" s="197"/>
      <c r="H1310" s="199"/>
      <c r="I1310" s="199"/>
      <c r="J1310" s="197"/>
      <c r="K1310" s="200"/>
      <c r="L1310" s="54"/>
      <c r="M1310" s="201"/>
      <c r="N1310" s="124"/>
      <c r="O1310" s="124"/>
      <c r="P1310" s="202"/>
      <c r="Q1310" s="84"/>
      <c r="R1310" s="190"/>
      <c r="S1310" s="196"/>
    </row>
    <row r="1311" spans="1:19" ht="37.15" customHeight="1">
      <c r="A1311" s="196"/>
      <c r="B1311" s="197"/>
      <c r="C1311" s="197"/>
      <c r="D1311" s="124"/>
      <c r="E1311" s="198"/>
      <c r="F1311" s="198"/>
      <c r="G1311" s="197"/>
      <c r="H1311" s="199"/>
      <c r="I1311" s="199"/>
      <c r="J1311" s="197"/>
      <c r="K1311" s="200"/>
      <c r="L1311" s="54"/>
      <c r="M1311" s="201"/>
      <c r="N1311" s="124"/>
      <c r="O1311" s="124"/>
      <c r="P1311" s="202"/>
      <c r="Q1311" s="84"/>
      <c r="R1311" s="190"/>
      <c r="S1311" s="196"/>
    </row>
    <row r="1312" spans="1:19" ht="37.15" customHeight="1">
      <c r="A1312" s="196"/>
      <c r="B1312" s="197"/>
      <c r="C1312" s="197"/>
      <c r="D1312" s="124"/>
      <c r="E1312" s="198"/>
      <c r="F1312" s="198"/>
      <c r="G1312" s="197"/>
      <c r="H1312" s="199"/>
      <c r="I1312" s="199"/>
      <c r="J1312" s="197"/>
      <c r="K1312" s="200"/>
      <c r="L1312" s="54"/>
      <c r="M1312" s="201"/>
      <c r="N1312" s="124"/>
      <c r="O1312" s="124"/>
      <c r="P1312" s="202"/>
      <c r="Q1312" s="84"/>
      <c r="R1312" s="190"/>
      <c r="S1312" s="196"/>
    </row>
    <row r="1313" spans="1:19" ht="37.15" customHeight="1">
      <c r="A1313" s="196"/>
      <c r="B1313" s="197"/>
      <c r="C1313" s="197"/>
      <c r="D1313" s="124"/>
      <c r="E1313" s="198"/>
      <c r="F1313" s="198"/>
      <c r="G1313" s="197"/>
      <c r="H1313" s="199"/>
      <c r="I1313" s="199"/>
      <c r="J1313" s="197"/>
      <c r="K1313" s="200"/>
      <c r="L1313" s="54"/>
      <c r="M1313" s="201"/>
      <c r="N1313" s="124"/>
      <c r="O1313" s="124"/>
      <c r="P1313" s="202"/>
      <c r="Q1313" s="84"/>
      <c r="R1313" s="190"/>
      <c r="S1313" s="196"/>
    </row>
    <row r="1314" spans="1:19" ht="37.15" customHeight="1">
      <c r="A1314" s="196"/>
      <c r="B1314" s="197"/>
      <c r="C1314" s="197"/>
      <c r="D1314" s="124"/>
      <c r="E1314" s="198"/>
      <c r="F1314" s="198"/>
      <c r="G1314" s="197"/>
      <c r="H1314" s="199"/>
      <c r="I1314" s="199"/>
      <c r="J1314" s="197"/>
      <c r="K1314" s="200"/>
      <c r="L1314" s="54"/>
      <c r="M1314" s="201"/>
      <c r="N1314" s="124"/>
      <c r="O1314" s="124"/>
      <c r="P1314" s="202"/>
      <c r="Q1314" s="84"/>
      <c r="R1314" s="190"/>
      <c r="S1314" s="196"/>
    </row>
    <row r="1315" spans="1:19" ht="37.15" customHeight="1">
      <c r="A1315" s="196"/>
      <c r="B1315" s="197"/>
      <c r="C1315" s="197"/>
      <c r="D1315" s="124"/>
      <c r="E1315" s="198"/>
      <c r="F1315" s="198"/>
      <c r="G1315" s="197"/>
      <c r="H1315" s="199"/>
      <c r="I1315" s="199"/>
      <c r="J1315" s="197"/>
      <c r="K1315" s="200"/>
      <c r="L1315" s="54"/>
      <c r="M1315" s="201"/>
      <c r="N1315" s="124"/>
      <c r="O1315" s="124"/>
      <c r="P1315" s="202"/>
      <c r="Q1315" s="84"/>
      <c r="R1315" s="190"/>
      <c r="S1315" s="196"/>
    </row>
    <row r="1316" spans="1:19" ht="37.15" customHeight="1">
      <c r="A1316" s="196"/>
      <c r="B1316" s="197"/>
      <c r="C1316" s="197"/>
      <c r="D1316" s="124"/>
      <c r="E1316" s="198"/>
      <c r="F1316" s="198"/>
      <c r="G1316" s="197"/>
      <c r="H1316" s="199"/>
      <c r="I1316" s="199"/>
      <c r="J1316" s="197"/>
      <c r="K1316" s="200"/>
      <c r="L1316" s="54"/>
      <c r="M1316" s="201"/>
      <c r="N1316" s="124"/>
      <c r="O1316" s="124"/>
      <c r="P1316" s="202"/>
      <c r="Q1316" s="84"/>
      <c r="R1316" s="190"/>
      <c r="S1316" s="196"/>
    </row>
    <row r="1317" spans="1:19" ht="37.15" customHeight="1">
      <c r="A1317" s="196"/>
      <c r="B1317" s="197"/>
      <c r="C1317" s="197"/>
      <c r="D1317" s="124"/>
      <c r="E1317" s="198"/>
      <c r="F1317" s="198"/>
      <c r="G1317" s="197"/>
      <c r="H1317" s="199"/>
      <c r="I1317" s="199"/>
      <c r="J1317" s="197"/>
      <c r="K1317" s="200"/>
      <c r="L1317" s="54"/>
      <c r="M1317" s="201"/>
      <c r="N1317" s="124"/>
      <c r="O1317" s="124"/>
      <c r="P1317" s="202"/>
      <c r="Q1317" s="84"/>
      <c r="R1317" s="190"/>
      <c r="S1317" s="196"/>
    </row>
    <row r="1318" spans="1:19" ht="37.15" customHeight="1">
      <c r="A1318" s="196"/>
      <c r="B1318" s="197"/>
      <c r="C1318" s="197"/>
      <c r="D1318" s="124"/>
      <c r="E1318" s="198"/>
      <c r="F1318" s="198"/>
      <c r="G1318" s="197"/>
      <c r="H1318" s="199"/>
      <c r="I1318" s="199"/>
      <c r="J1318" s="197"/>
      <c r="K1318" s="200"/>
      <c r="L1318" s="54"/>
      <c r="M1318" s="201"/>
      <c r="N1318" s="124"/>
      <c r="O1318" s="124"/>
      <c r="P1318" s="202"/>
      <c r="Q1318" s="84"/>
      <c r="R1318" s="190"/>
      <c r="S1318" s="196"/>
    </row>
    <row r="1319" spans="1:19" ht="37.15" customHeight="1">
      <c r="A1319" s="196"/>
      <c r="B1319" s="197"/>
      <c r="C1319" s="197"/>
      <c r="D1319" s="124"/>
      <c r="E1319" s="198"/>
      <c r="F1319" s="198"/>
      <c r="G1319" s="197"/>
      <c r="H1319" s="199"/>
      <c r="I1319" s="199"/>
      <c r="J1319" s="197"/>
      <c r="K1319" s="200"/>
      <c r="L1319" s="54"/>
      <c r="M1319" s="201"/>
      <c r="N1319" s="124"/>
      <c r="O1319" s="124"/>
      <c r="P1319" s="202"/>
      <c r="Q1319" s="84"/>
      <c r="R1319" s="190"/>
      <c r="S1319" s="196"/>
    </row>
    <row r="1320" spans="1:19" ht="37.15" customHeight="1">
      <c r="A1320" s="196"/>
      <c r="B1320" s="197"/>
      <c r="C1320" s="197"/>
      <c r="D1320" s="124"/>
      <c r="E1320" s="198"/>
      <c r="F1320" s="198"/>
      <c r="G1320" s="197"/>
      <c r="H1320" s="199"/>
      <c r="I1320" s="199"/>
      <c r="J1320" s="197"/>
      <c r="K1320" s="200"/>
      <c r="L1320" s="54"/>
      <c r="M1320" s="201"/>
      <c r="N1320" s="124"/>
      <c r="O1320" s="124"/>
      <c r="P1320" s="202"/>
      <c r="Q1320" s="84"/>
      <c r="R1320" s="190"/>
      <c r="S1320" s="196"/>
    </row>
    <row r="1321" spans="1:19" ht="37.15" customHeight="1">
      <c r="A1321" s="196"/>
      <c r="B1321" s="197"/>
      <c r="C1321" s="197"/>
      <c r="D1321" s="124"/>
      <c r="E1321" s="198"/>
      <c r="F1321" s="198"/>
      <c r="G1321" s="197"/>
      <c r="H1321" s="199"/>
      <c r="I1321" s="199"/>
      <c r="J1321" s="197"/>
      <c r="K1321" s="200"/>
      <c r="L1321" s="54"/>
      <c r="M1321" s="201"/>
      <c r="N1321" s="124"/>
      <c r="O1321" s="124"/>
      <c r="P1321" s="202"/>
      <c r="Q1321" s="84"/>
      <c r="R1321" s="190"/>
      <c r="S1321" s="196"/>
    </row>
    <row r="1322" spans="1:19" ht="37.15" customHeight="1">
      <c r="A1322" s="196"/>
      <c r="B1322" s="197"/>
      <c r="C1322" s="197"/>
      <c r="D1322" s="124"/>
      <c r="E1322" s="198"/>
      <c r="F1322" s="198"/>
      <c r="G1322" s="197"/>
      <c r="H1322" s="199"/>
      <c r="I1322" s="199"/>
      <c r="J1322" s="197"/>
      <c r="K1322" s="200"/>
      <c r="L1322" s="54"/>
      <c r="M1322" s="201"/>
      <c r="N1322" s="124"/>
      <c r="O1322" s="124"/>
      <c r="P1322" s="202"/>
      <c r="Q1322" s="84"/>
      <c r="R1322" s="190"/>
      <c r="S1322" s="196"/>
    </row>
    <row r="1323" spans="1:19" ht="37.15" customHeight="1">
      <c r="A1323" s="196"/>
      <c r="B1323" s="197"/>
      <c r="C1323" s="197"/>
      <c r="D1323" s="124"/>
      <c r="E1323" s="198"/>
      <c r="F1323" s="198"/>
      <c r="G1323" s="197"/>
      <c r="H1323" s="199"/>
      <c r="I1323" s="199"/>
      <c r="J1323" s="197"/>
      <c r="K1323" s="200"/>
      <c r="L1323" s="54"/>
      <c r="M1323" s="201"/>
      <c r="N1323" s="124"/>
      <c r="O1323" s="124"/>
      <c r="P1323" s="202"/>
      <c r="Q1323" s="84"/>
      <c r="R1323" s="190"/>
      <c r="S1323" s="196"/>
    </row>
    <row r="1324" spans="1:19" ht="37.15" customHeight="1">
      <c r="A1324" s="196"/>
      <c r="B1324" s="197"/>
      <c r="C1324" s="197"/>
      <c r="D1324" s="124"/>
      <c r="E1324" s="198"/>
      <c r="F1324" s="198"/>
      <c r="G1324" s="197"/>
      <c r="H1324" s="199"/>
      <c r="I1324" s="199"/>
      <c r="J1324" s="197"/>
      <c r="K1324" s="200"/>
      <c r="L1324" s="54"/>
      <c r="M1324" s="201"/>
      <c r="N1324" s="124"/>
      <c r="O1324" s="124"/>
      <c r="P1324" s="202"/>
      <c r="Q1324" s="84"/>
      <c r="R1324" s="190"/>
      <c r="S1324" s="196"/>
    </row>
    <row r="1325" spans="1:19" ht="37.15" customHeight="1">
      <c r="A1325" s="196"/>
      <c r="B1325" s="197"/>
      <c r="C1325" s="197"/>
      <c r="D1325" s="124"/>
      <c r="E1325" s="198"/>
      <c r="F1325" s="198"/>
      <c r="G1325" s="197"/>
      <c r="H1325" s="199"/>
      <c r="I1325" s="199"/>
      <c r="J1325" s="197"/>
      <c r="K1325" s="200"/>
      <c r="L1325" s="54"/>
      <c r="M1325" s="201"/>
      <c r="N1325" s="124"/>
      <c r="O1325" s="124"/>
      <c r="P1325" s="202"/>
      <c r="Q1325" s="84"/>
      <c r="R1325" s="190"/>
      <c r="S1325" s="196"/>
    </row>
    <row r="1326" spans="1:19" ht="37.15" customHeight="1">
      <c r="A1326" s="196"/>
      <c r="B1326" s="197"/>
      <c r="C1326" s="197"/>
      <c r="D1326" s="124"/>
      <c r="E1326" s="198"/>
      <c r="F1326" s="198"/>
      <c r="G1326" s="197"/>
      <c r="H1326" s="199"/>
      <c r="I1326" s="199"/>
      <c r="J1326" s="197"/>
      <c r="K1326" s="200"/>
      <c r="L1326" s="54"/>
      <c r="M1326" s="201"/>
      <c r="N1326" s="124"/>
      <c r="O1326" s="124"/>
      <c r="P1326" s="202"/>
      <c r="Q1326" s="84"/>
      <c r="R1326" s="190"/>
      <c r="S1326" s="196"/>
    </row>
    <row r="1327" spans="1:19" ht="37.15" customHeight="1">
      <c r="A1327" s="196"/>
      <c r="B1327" s="197"/>
      <c r="C1327" s="197"/>
      <c r="D1327" s="124"/>
      <c r="E1327" s="198"/>
      <c r="F1327" s="198"/>
      <c r="G1327" s="197"/>
      <c r="H1327" s="199"/>
      <c r="I1327" s="199"/>
      <c r="J1327" s="197"/>
      <c r="K1327" s="200"/>
      <c r="L1327" s="54"/>
      <c r="M1327" s="201"/>
      <c r="N1327" s="124"/>
      <c r="O1327" s="124"/>
      <c r="P1327" s="202"/>
      <c r="Q1327" s="84"/>
      <c r="R1327" s="190"/>
      <c r="S1327" s="196"/>
    </row>
    <row r="1328" spans="1:19" ht="37.15" customHeight="1">
      <c r="A1328" s="196"/>
      <c r="B1328" s="197"/>
      <c r="C1328" s="197"/>
      <c r="D1328" s="124"/>
      <c r="E1328" s="198"/>
      <c r="F1328" s="198"/>
      <c r="G1328" s="197"/>
      <c r="H1328" s="199"/>
      <c r="I1328" s="199"/>
      <c r="J1328" s="197"/>
      <c r="K1328" s="200"/>
      <c r="L1328" s="54"/>
      <c r="M1328" s="201"/>
      <c r="N1328" s="124"/>
      <c r="O1328" s="124"/>
      <c r="P1328" s="202"/>
      <c r="Q1328" s="84"/>
      <c r="R1328" s="190"/>
      <c r="S1328" s="196"/>
    </row>
    <row r="1329" spans="1:19" ht="37.15" customHeight="1">
      <c r="A1329" s="196"/>
      <c r="B1329" s="197"/>
      <c r="C1329" s="197"/>
      <c r="D1329" s="124"/>
      <c r="E1329" s="198"/>
      <c r="F1329" s="198"/>
      <c r="G1329" s="197"/>
      <c r="H1329" s="199"/>
      <c r="I1329" s="199"/>
      <c r="J1329" s="197"/>
      <c r="K1329" s="200"/>
      <c r="L1329" s="54"/>
      <c r="M1329" s="201"/>
      <c r="N1329" s="124"/>
      <c r="O1329" s="124"/>
      <c r="P1329" s="202"/>
      <c r="Q1329" s="84"/>
      <c r="R1329" s="190"/>
      <c r="S1329" s="196"/>
    </row>
    <row r="1330" spans="1:19" ht="37.15" customHeight="1">
      <c r="A1330" s="196"/>
      <c r="B1330" s="197"/>
      <c r="C1330" s="197"/>
      <c r="D1330" s="124"/>
      <c r="E1330" s="198"/>
      <c r="F1330" s="198"/>
      <c r="G1330" s="197"/>
      <c r="H1330" s="199"/>
      <c r="I1330" s="199"/>
      <c r="J1330" s="197"/>
      <c r="K1330" s="200"/>
      <c r="L1330" s="54"/>
      <c r="M1330" s="201"/>
      <c r="N1330" s="124"/>
      <c r="O1330" s="124"/>
      <c r="P1330" s="202"/>
      <c r="Q1330" s="84"/>
      <c r="R1330" s="190"/>
      <c r="S1330" s="196"/>
    </row>
    <row r="1331" spans="1:19" ht="37.15" customHeight="1">
      <c r="A1331" s="196"/>
      <c r="B1331" s="197"/>
      <c r="C1331" s="197"/>
      <c r="D1331" s="124"/>
      <c r="E1331" s="198"/>
      <c r="F1331" s="198"/>
      <c r="G1331" s="197"/>
      <c r="H1331" s="199"/>
      <c r="I1331" s="199"/>
      <c r="J1331" s="197"/>
      <c r="K1331" s="200"/>
      <c r="L1331" s="54"/>
      <c r="M1331" s="201"/>
      <c r="N1331" s="124"/>
      <c r="O1331" s="124"/>
      <c r="P1331" s="202"/>
      <c r="Q1331" s="84"/>
      <c r="R1331" s="190"/>
      <c r="S1331" s="196"/>
    </row>
    <row r="1332" spans="1:19" ht="37.15" customHeight="1">
      <c r="A1332" s="196"/>
      <c r="B1332" s="197"/>
      <c r="C1332" s="197"/>
      <c r="D1332" s="124"/>
      <c r="E1332" s="198"/>
      <c r="F1332" s="198"/>
      <c r="G1332" s="197"/>
      <c r="H1332" s="199"/>
      <c r="I1332" s="199"/>
      <c r="J1332" s="197"/>
      <c r="K1332" s="200"/>
      <c r="L1332" s="54"/>
      <c r="M1332" s="201"/>
      <c r="N1332" s="124"/>
      <c r="O1332" s="124"/>
      <c r="P1332" s="202"/>
      <c r="Q1332" s="84"/>
      <c r="R1332" s="190"/>
      <c r="S1332" s="196"/>
    </row>
    <row r="1333" spans="1:19" ht="37.15" customHeight="1">
      <c r="A1333" s="196"/>
      <c r="B1333" s="197"/>
      <c r="C1333" s="197"/>
      <c r="D1333" s="124"/>
      <c r="E1333" s="198"/>
      <c r="F1333" s="198"/>
      <c r="G1333" s="197"/>
      <c r="H1333" s="199"/>
      <c r="I1333" s="199"/>
      <c r="J1333" s="197"/>
      <c r="K1333" s="200"/>
      <c r="L1333" s="54"/>
      <c r="M1333" s="201"/>
      <c r="N1333" s="124"/>
      <c r="O1333" s="124"/>
      <c r="P1333" s="202"/>
      <c r="Q1333" s="84"/>
      <c r="R1333" s="190"/>
      <c r="S1333" s="196"/>
    </row>
    <row r="1334" spans="1:19" ht="37.15" customHeight="1">
      <c r="A1334" s="196"/>
      <c r="B1334" s="197"/>
      <c r="C1334" s="197"/>
      <c r="D1334" s="124"/>
      <c r="E1334" s="198"/>
      <c r="F1334" s="198"/>
      <c r="G1334" s="197"/>
      <c r="H1334" s="199"/>
      <c r="I1334" s="199"/>
      <c r="J1334" s="197"/>
      <c r="K1334" s="200"/>
      <c r="L1334" s="54"/>
      <c r="M1334" s="201"/>
      <c r="N1334" s="124"/>
      <c r="O1334" s="124"/>
      <c r="P1334" s="202"/>
      <c r="Q1334" s="84"/>
      <c r="R1334" s="190"/>
      <c r="S1334" s="196"/>
    </row>
    <row r="1335" spans="1:19" ht="37.15" customHeight="1">
      <c r="A1335" s="196"/>
      <c r="B1335" s="197"/>
      <c r="C1335" s="197"/>
      <c r="D1335" s="124"/>
      <c r="E1335" s="198"/>
      <c r="F1335" s="198"/>
      <c r="G1335" s="197"/>
      <c r="H1335" s="199"/>
      <c r="I1335" s="199"/>
      <c r="J1335" s="197"/>
      <c r="K1335" s="200"/>
      <c r="L1335" s="54"/>
      <c r="M1335" s="201"/>
      <c r="N1335" s="124"/>
      <c r="O1335" s="124"/>
      <c r="P1335" s="202"/>
      <c r="Q1335" s="84"/>
      <c r="R1335" s="190"/>
      <c r="S1335" s="196"/>
    </row>
    <row r="1336" spans="1:19" ht="37.15" customHeight="1">
      <c r="A1336" s="196"/>
      <c r="B1336" s="197"/>
      <c r="C1336" s="197"/>
      <c r="D1336" s="124"/>
      <c r="E1336" s="198"/>
      <c r="F1336" s="198"/>
      <c r="G1336" s="197"/>
      <c r="H1336" s="199"/>
      <c r="I1336" s="199"/>
      <c r="J1336" s="197"/>
      <c r="K1336" s="200"/>
      <c r="L1336" s="54"/>
      <c r="M1336" s="201"/>
      <c r="N1336" s="124"/>
      <c r="O1336" s="124"/>
      <c r="P1336" s="202"/>
      <c r="Q1336" s="84"/>
      <c r="R1336" s="190"/>
      <c r="S1336" s="196"/>
    </row>
    <row r="1337" spans="1:19" ht="37.15" customHeight="1">
      <c r="A1337" s="196"/>
      <c r="B1337" s="197"/>
      <c r="C1337" s="197"/>
      <c r="D1337" s="124"/>
      <c r="E1337" s="198"/>
      <c r="F1337" s="198"/>
      <c r="G1337" s="197"/>
      <c r="H1337" s="199"/>
      <c r="I1337" s="199"/>
      <c r="J1337" s="197"/>
      <c r="K1337" s="200"/>
      <c r="L1337" s="54"/>
      <c r="M1337" s="201"/>
      <c r="N1337" s="124"/>
      <c r="O1337" s="124"/>
      <c r="P1337" s="202"/>
      <c r="Q1337" s="84"/>
      <c r="R1337" s="190"/>
      <c r="S1337" s="196"/>
    </row>
    <row r="1338" spans="1:19" ht="37.15" customHeight="1">
      <c r="A1338" s="196"/>
      <c r="B1338" s="197"/>
      <c r="C1338" s="197"/>
      <c r="D1338" s="124"/>
      <c r="E1338" s="198"/>
      <c r="F1338" s="198"/>
      <c r="G1338" s="197"/>
      <c r="H1338" s="199"/>
      <c r="I1338" s="199"/>
      <c r="J1338" s="197"/>
      <c r="K1338" s="200"/>
      <c r="L1338" s="54"/>
      <c r="M1338" s="201"/>
      <c r="N1338" s="124"/>
      <c r="O1338" s="124"/>
      <c r="P1338" s="202"/>
      <c r="Q1338" s="84"/>
      <c r="R1338" s="190"/>
      <c r="S1338" s="196"/>
    </row>
    <row r="1339" spans="1:19" ht="37.15" customHeight="1">
      <c r="A1339" s="196"/>
      <c r="B1339" s="197"/>
      <c r="C1339" s="197"/>
      <c r="D1339" s="124"/>
      <c r="E1339" s="198"/>
      <c r="F1339" s="198"/>
      <c r="G1339" s="197"/>
      <c r="H1339" s="199"/>
      <c r="I1339" s="199"/>
      <c r="J1339" s="197"/>
      <c r="K1339" s="200"/>
      <c r="L1339" s="54"/>
      <c r="M1339" s="201"/>
      <c r="N1339" s="124"/>
      <c r="O1339" s="124"/>
      <c r="P1339" s="202"/>
      <c r="Q1339" s="84"/>
      <c r="R1339" s="190"/>
      <c r="S1339" s="196"/>
    </row>
    <row r="1340" spans="1:19" ht="37.15" customHeight="1">
      <c r="A1340" s="196"/>
      <c r="B1340" s="197"/>
      <c r="C1340" s="197"/>
      <c r="D1340" s="124"/>
      <c r="E1340" s="198"/>
      <c r="F1340" s="198"/>
      <c r="G1340" s="197"/>
      <c r="H1340" s="199"/>
      <c r="I1340" s="199"/>
      <c r="J1340" s="197"/>
      <c r="K1340" s="200"/>
      <c r="L1340" s="54"/>
      <c r="M1340" s="201"/>
      <c r="N1340" s="124"/>
      <c r="O1340" s="124"/>
      <c r="P1340" s="202"/>
      <c r="Q1340" s="84"/>
      <c r="R1340" s="190"/>
      <c r="S1340" s="196"/>
    </row>
    <row r="1341" spans="1:19" ht="37.15" customHeight="1">
      <c r="A1341" s="196"/>
      <c r="B1341" s="197"/>
      <c r="C1341" s="197"/>
      <c r="D1341" s="124"/>
      <c r="E1341" s="198"/>
      <c r="F1341" s="198"/>
      <c r="G1341" s="197"/>
      <c r="H1341" s="199"/>
      <c r="I1341" s="199"/>
      <c r="J1341" s="197"/>
      <c r="K1341" s="200"/>
      <c r="L1341" s="54"/>
      <c r="M1341" s="201"/>
      <c r="N1341" s="124"/>
      <c r="O1341" s="124"/>
      <c r="P1341" s="202"/>
      <c r="Q1341" s="84"/>
      <c r="R1341" s="190"/>
      <c r="S1341" s="196"/>
    </row>
    <row r="1342" spans="1:19" ht="37.15" customHeight="1">
      <c r="A1342" s="196"/>
      <c r="B1342" s="197"/>
      <c r="C1342" s="197"/>
      <c r="D1342" s="124"/>
      <c r="E1342" s="198"/>
      <c r="F1342" s="198"/>
      <c r="G1342" s="197"/>
      <c r="H1342" s="199"/>
      <c r="I1342" s="199"/>
      <c r="J1342" s="197"/>
      <c r="K1342" s="200"/>
      <c r="L1342" s="54"/>
      <c r="M1342" s="201"/>
      <c r="N1342" s="124"/>
      <c r="O1342" s="124"/>
      <c r="P1342" s="202"/>
      <c r="Q1342" s="84"/>
      <c r="R1342" s="190"/>
      <c r="S1342" s="196"/>
    </row>
    <row r="1343" spans="1:19" ht="37.15" customHeight="1">
      <c r="A1343" s="196"/>
      <c r="B1343" s="197"/>
      <c r="C1343" s="197"/>
      <c r="D1343" s="124"/>
      <c r="E1343" s="198"/>
      <c r="F1343" s="198"/>
      <c r="G1343" s="197"/>
      <c r="H1343" s="199"/>
      <c r="I1343" s="199"/>
      <c r="J1343" s="197"/>
      <c r="K1343" s="200"/>
      <c r="L1343" s="54"/>
      <c r="M1343" s="201"/>
      <c r="N1343" s="124"/>
      <c r="O1343" s="124"/>
      <c r="P1343" s="202"/>
      <c r="Q1343" s="84"/>
      <c r="R1343" s="190"/>
      <c r="S1343" s="196"/>
    </row>
    <row r="1344" spans="1:19" ht="37.15" customHeight="1">
      <c r="A1344" s="196"/>
      <c r="B1344" s="197"/>
      <c r="C1344" s="197"/>
      <c r="D1344" s="124"/>
      <c r="E1344" s="198"/>
      <c r="F1344" s="198"/>
      <c r="G1344" s="197"/>
      <c r="H1344" s="199"/>
      <c r="I1344" s="199"/>
      <c r="J1344" s="197"/>
      <c r="K1344" s="200"/>
      <c r="L1344" s="54"/>
      <c r="M1344" s="201"/>
      <c r="N1344" s="124"/>
      <c r="O1344" s="124"/>
      <c r="P1344" s="202"/>
      <c r="Q1344" s="84"/>
      <c r="R1344" s="190"/>
      <c r="S1344" s="196"/>
    </row>
    <row r="1345" spans="1:19" ht="37.15" customHeight="1">
      <c r="A1345" s="196"/>
      <c r="B1345" s="197"/>
      <c r="C1345" s="197"/>
      <c r="D1345" s="124"/>
      <c r="E1345" s="198"/>
      <c r="F1345" s="198"/>
      <c r="G1345" s="197"/>
      <c r="H1345" s="199"/>
      <c r="I1345" s="199"/>
      <c r="J1345" s="197"/>
      <c r="K1345" s="200"/>
      <c r="L1345" s="54"/>
      <c r="M1345" s="201"/>
      <c r="N1345" s="124"/>
      <c r="O1345" s="124"/>
      <c r="P1345" s="202"/>
      <c r="Q1345" s="84"/>
      <c r="R1345" s="190"/>
      <c r="S1345" s="196"/>
    </row>
    <row r="1346" spans="1:19" ht="37.15" customHeight="1">
      <c r="A1346" s="196"/>
      <c r="B1346" s="197"/>
      <c r="C1346" s="197"/>
      <c r="D1346" s="124"/>
      <c r="E1346" s="198"/>
      <c r="F1346" s="198"/>
      <c r="G1346" s="197"/>
      <c r="H1346" s="199"/>
      <c r="I1346" s="199"/>
      <c r="J1346" s="197"/>
      <c r="K1346" s="200"/>
      <c r="L1346" s="54"/>
      <c r="M1346" s="201"/>
      <c r="N1346" s="124"/>
      <c r="O1346" s="124"/>
      <c r="P1346" s="202"/>
      <c r="Q1346" s="84"/>
      <c r="R1346" s="190"/>
      <c r="S1346" s="196"/>
    </row>
    <row r="1347" spans="1:19" ht="37.15" customHeight="1">
      <c r="A1347" s="196"/>
      <c r="B1347" s="197"/>
      <c r="C1347" s="197"/>
      <c r="D1347" s="124"/>
      <c r="E1347" s="198"/>
      <c r="F1347" s="198"/>
      <c r="G1347" s="197"/>
      <c r="H1347" s="199"/>
      <c r="I1347" s="199"/>
      <c r="J1347" s="197"/>
      <c r="K1347" s="200"/>
      <c r="L1347" s="54"/>
      <c r="M1347" s="201"/>
      <c r="N1347" s="124"/>
      <c r="O1347" s="124"/>
      <c r="P1347" s="202"/>
      <c r="Q1347" s="84"/>
      <c r="R1347" s="190"/>
      <c r="S1347" s="196"/>
    </row>
    <row r="1348" spans="1:19" ht="37.15" customHeight="1">
      <c r="A1348" s="196"/>
      <c r="B1348" s="197"/>
      <c r="C1348" s="197"/>
      <c r="D1348" s="124"/>
      <c r="E1348" s="198"/>
      <c r="F1348" s="198"/>
      <c r="G1348" s="197"/>
      <c r="H1348" s="199"/>
      <c r="I1348" s="199"/>
      <c r="J1348" s="197"/>
      <c r="K1348" s="200"/>
      <c r="L1348" s="54"/>
      <c r="M1348" s="201"/>
      <c r="N1348" s="124"/>
      <c r="O1348" s="124"/>
      <c r="P1348" s="202"/>
      <c r="Q1348" s="84"/>
      <c r="R1348" s="190"/>
      <c r="S1348" s="196"/>
    </row>
    <row r="1349" spans="1:19" ht="37.15" customHeight="1">
      <c r="A1349" s="196"/>
      <c r="B1349" s="197"/>
      <c r="C1349" s="197"/>
      <c r="D1349" s="124"/>
      <c r="E1349" s="198"/>
      <c r="F1349" s="198"/>
      <c r="G1349" s="197"/>
      <c r="H1349" s="199"/>
      <c r="I1349" s="199"/>
      <c r="J1349" s="197"/>
      <c r="K1349" s="200"/>
      <c r="L1349" s="54"/>
      <c r="M1349" s="201"/>
      <c r="N1349" s="124"/>
      <c r="O1349" s="124"/>
      <c r="P1349" s="202"/>
      <c r="Q1349" s="84"/>
      <c r="R1349" s="190"/>
      <c r="S1349" s="196"/>
    </row>
    <row r="1350" spans="1:19" ht="37.15" customHeight="1">
      <c r="A1350" s="196"/>
      <c r="B1350" s="197"/>
      <c r="C1350" s="197"/>
      <c r="D1350" s="124"/>
      <c r="E1350" s="198"/>
      <c r="F1350" s="198"/>
      <c r="G1350" s="197"/>
      <c r="H1350" s="199"/>
      <c r="I1350" s="199"/>
      <c r="J1350" s="197"/>
      <c r="K1350" s="200"/>
      <c r="L1350" s="54"/>
      <c r="M1350" s="201"/>
      <c r="N1350" s="124"/>
      <c r="O1350" s="124"/>
      <c r="P1350" s="202"/>
      <c r="Q1350" s="84"/>
      <c r="R1350" s="190"/>
      <c r="S1350" s="196"/>
    </row>
    <row r="1351" spans="1:19" ht="37.15" customHeight="1">
      <c r="A1351" s="196"/>
      <c r="B1351" s="197"/>
      <c r="C1351" s="197"/>
      <c r="D1351" s="124"/>
      <c r="E1351" s="198"/>
      <c r="F1351" s="198"/>
      <c r="G1351" s="197"/>
      <c r="H1351" s="199"/>
      <c r="I1351" s="199"/>
      <c r="J1351" s="197"/>
      <c r="K1351" s="200"/>
      <c r="L1351" s="54"/>
      <c r="M1351" s="201"/>
      <c r="N1351" s="124"/>
      <c r="O1351" s="124"/>
      <c r="P1351" s="202"/>
      <c r="Q1351" s="84"/>
      <c r="R1351" s="190"/>
      <c r="S1351" s="196"/>
    </row>
    <row r="1352" spans="1:19" ht="37.15" customHeight="1">
      <c r="A1352" s="196"/>
      <c r="B1352" s="197"/>
      <c r="C1352" s="197"/>
      <c r="D1352" s="124"/>
      <c r="E1352" s="198"/>
      <c r="F1352" s="198"/>
      <c r="G1352" s="197"/>
      <c r="H1352" s="199"/>
      <c r="I1352" s="199"/>
      <c r="J1352" s="197"/>
      <c r="K1352" s="200"/>
      <c r="L1352" s="54"/>
      <c r="M1352" s="201"/>
      <c r="N1352" s="124"/>
      <c r="O1352" s="124"/>
      <c r="P1352" s="202"/>
      <c r="Q1352" s="84"/>
      <c r="R1352" s="190"/>
      <c r="S1352" s="196"/>
    </row>
    <row r="1353" spans="1:19" ht="37.15" customHeight="1">
      <c r="A1353" s="196"/>
      <c r="B1353" s="197"/>
      <c r="C1353" s="197"/>
      <c r="D1353" s="124"/>
      <c r="E1353" s="198"/>
      <c r="F1353" s="198"/>
      <c r="G1353" s="197"/>
      <c r="H1353" s="199"/>
      <c r="I1353" s="199"/>
      <c r="J1353" s="197"/>
      <c r="K1353" s="200"/>
      <c r="L1353" s="54"/>
      <c r="M1353" s="201"/>
      <c r="N1353" s="124"/>
      <c r="O1353" s="124"/>
      <c r="P1353" s="202"/>
      <c r="Q1353" s="84"/>
      <c r="R1353" s="190"/>
      <c r="S1353" s="196"/>
    </row>
    <row r="1354" spans="1:19" ht="37.15" customHeight="1">
      <c r="A1354" s="196"/>
      <c r="B1354" s="197"/>
      <c r="C1354" s="197"/>
      <c r="D1354" s="124"/>
      <c r="E1354" s="198"/>
      <c r="F1354" s="198"/>
      <c r="G1354" s="197"/>
      <c r="H1354" s="199"/>
      <c r="I1354" s="199"/>
      <c r="J1354" s="197"/>
      <c r="K1354" s="200"/>
      <c r="L1354" s="54"/>
      <c r="M1354" s="201"/>
      <c r="N1354" s="124"/>
      <c r="O1354" s="124"/>
      <c r="P1354" s="202"/>
      <c r="Q1354" s="84"/>
      <c r="R1354" s="190"/>
      <c r="S1354" s="196"/>
    </row>
    <row r="1355" spans="1:19" ht="37.15" customHeight="1">
      <c r="A1355" s="196"/>
      <c r="B1355" s="197"/>
      <c r="C1355" s="197"/>
      <c r="D1355" s="124"/>
      <c r="E1355" s="198"/>
      <c r="F1355" s="198"/>
      <c r="G1355" s="197"/>
      <c r="H1355" s="199"/>
      <c r="I1355" s="199"/>
      <c r="J1355" s="197"/>
      <c r="K1355" s="200"/>
      <c r="L1355" s="54"/>
      <c r="M1355" s="201"/>
      <c r="N1355" s="124"/>
      <c r="O1355" s="124"/>
      <c r="P1355" s="202"/>
      <c r="Q1355" s="84"/>
      <c r="R1355" s="190"/>
      <c r="S1355" s="196"/>
    </row>
    <row r="1356" spans="1:19" ht="37.15" customHeight="1">
      <c r="A1356" s="196"/>
      <c r="B1356" s="197"/>
      <c r="C1356" s="197"/>
      <c r="D1356" s="124"/>
      <c r="E1356" s="198"/>
      <c r="F1356" s="198"/>
      <c r="G1356" s="197"/>
      <c r="H1356" s="199"/>
      <c r="I1356" s="199"/>
      <c r="J1356" s="197"/>
      <c r="K1356" s="200"/>
      <c r="L1356" s="54"/>
      <c r="M1356" s="201"/>
      <c r="N1356" s="124"/>
      <c r="O1356" s="124"/>
      <c r="P1356" s="202"/>
      <c r="Q1356" s="84"/>
      <c r="R1356" s="190"/>
      <c r="S1356" s="196"/>
    </row>
    <row r="1357" spans="1:19" ht="37.15" customHeight="1">
      <c r="A1357" s="196"/>
      <c r="B1357" s="197"/>
      <c r="C1357" s="197"/>
      <c r="D1357" s="124"/>
      <c r="E1357" s="198"/>
      <c r="F1357" s="198"/>
      <c r="G1357" s="197"/>
      <c r="H1357" s="199"/>
      <c r="I1357" s="199"/>
      <c r="J1357" s="197"/>
      <c r="K1357" s="200"/>
      <c r="L1357" s="54"/>
      <c r="M1357" s="201"/>
      <c r="N1357" s="124"/>
      <c r="O1357" s="124"/>
      <c r="P1357" s="202"/>
      <c r="Q1357" s="84"/>
      <c r="R1357" s="190"/>
      <c r="S1357" s="196"/>
    </row>
    <row r="1358" spans="1:19" ht="37.15" customHeight="1">
      <c r="A1358" s="196"/>
      <c r="B1358" s="197"/>
      <c r="C1358" s="197"/>
      <c r="D1358" s="124"/>
      <c r="E1358" s="198"/>
      <c r="F1358" s="198"/>
      <c r="G1358" s="197"/>
      <c r="H1358" s="199"/>
      <c r="I1358" s="199"/>
      <c r="J1358" s="197"/>
      <c r="K1358" s="200"/>
      <c r="L1358" s="54"/>
      <c r="M1358" s="201"/>
      <c r="N1358" s="124"/>
      <c r="O1358" s="124"/>
      <c r="P1358" s="202"/>
      <c r="Q1358" s="84"/>
      <c r="R1358" s="190"/>
      <c r="S1358" s="196"/>
    </row>
    <row r="1359" spans="1:19" ht="37.15" customHeight="1">
      <c r="A1359" s="196"/>
      <c r="B1359" s="197"/>
      <c r="C1359" s="197"/>
      <c r="D1359" s="124"/>
      <c r="E1359" s="198"/>
      <c r="F1359" s="198"/>
      <c r="G1359" s="197"/>
      <c r="H1359" s="199"/>
      <c r="I1359" s="199"/>
      <c r="J1359" s="197"/>
      <c r="K1359" s="200"/>
      <c r="L1359" s="54"/>
      <c r="M1359" s="201"/>
      <c r="N1359" s="124"/>
      <c r="O1359" s="124"/>
      <c r="P1359" s="202"/>
      <c r="Q1359" s="84"/>
      <c r="R1359" s="190"/>
      <c r="S1359" s="196"/>
    </row>
    <row r="1360" spans="1:19" ht="37.15" customHeight="1">
      <c r="A1360" s="196"/>
      <c r="B1360" s="197"/>
      <c r="C1360" s="197"/>
      <c r="D1360" s="124"/>
      <c r="E1360" s="198"/>
      <c r="F1360" s="198"/>
      <c r="G1360" s="197"/>
      <c r="H1360" s="199"/>
      <c r="I1360" s="199"/>
      <c r="J1360" s="197"/>
      <c r="K1360" s="200"/>
      <c r="L1360" s="54"/>
      <c r="M1360" s="201"/>
      <c r="N1360" s="124"/>
      <c r="O1360" s="124"/>
      <c r="P1360" s="202"/>
      <c r="Q1360" s="84"/>
      <c r="R1360" s="190"/>
      <c r="S1360" s="196"/>
    </row>
    <row r="1361" spans="1:19" ht="37.15" customHeight="1">
      <c r="A1361" s="196"/>
      <c r="B1361" s="197"/>
      <c r="C1361" s="197"/>
      <c r="D1361" s="124"/>
      <c r="E1361" s="198"/>
      <c r="F1361" s="198"/>
      <c r="G1361" s="197"/>
      <c r="H1361" s="199"/>
      <c r="I1361" s="199"/>
      <c r="J1361" s="197"/>
      <c r="K1361" s="200"/>
      <c r="L1361" s="54"/>
      <c r="M1361" s="201"/>
      <c r="N1361" s="124"/>
      <c r="O1361" s="124"/>
      <c r="P1361" s="202"/>
      <c r="Q1361" s="84"/>
      <c r="R1361" s="190"/>
      <c r="S1361" s="196"/>
    </row>
    <row r="1362" spans="1:19" ht="37.15" customHeight="1">
      <c r="A1362" s="196"/>
      <c r="B1362" s="197"/>
      <c r="C1362" s="197"/>
      <c r="D1362" s="124"/>
      <c r="E1362" s="198"/>
      <c r="F1362" s="198"/>
      <c r="G1362" s="197"/>
      <c r="H1362" s="199"/>
      <c r="I1362" s="199"/>
      <c r="J1362" s="197"/>
      <c r="K1362" s="200"/>
      <c r="L1362" s="54"/>
      <c r="M1362" s="201"/>
      <c r="N1362" s="124"/>
      <c r="O1362" s="124"/>
      <c r="P1362" s="202"/>
      <c r="Q1362" s="84"/>
      <c r="R1362" s="190"/>
      <c r="S1362" s="196"/>
    </row>
    <row r="1363" spans="1:19" ht="37.15" customHeight="1">
      <c r="A1363" s="196"/>
      <c r="B1363" s="197"/>
      <c r="C1363" s="197"/>
      <c r="D1363" s="124"/>
      <c r="E1363" s="198"/>
      <c r="F1363" s="198"/>
      <c r="G1363" s="197"/>
      <c r="H1363" s="199"/>
      <c r="I1363" s="199"/>
      <c r="J1363" s="197"/>
      <c r="K1363" s="200"/>
      <c r="L1363" s="54"/>
      <c r="M1363" s="201"/>
      <c r="N1363" s="124"/>
      <c r="O1363" s="124"/>
      <c r="P1363" s="202"/>
      <c r="Q1363" s="84"/>
      <c r="R1363" s="190"/>
      <c r="S1363" s="196"/>
    </row>
    <row r="1364" spans="1:19" ht="37.15" customHeight="1">
      <c r="A1364" s="196"/>
      <c r="B1364" s="197"/>
      <c r="C1364" s="197"/>
      <c r="D1364" s="124"/>
      <c r="E1364" s="198"/>
      <c r="F1364" s="198"/>
      <c r="G1364" s="197"/>
      <c r="H1364" s="199"/>
      <c r="I1364" s="199"/>
      <c r="J1364" s="197"/>
      <c r="K1364" s="200"/>
      <c r="L1364" s="54"/>
      <c r="M1364" s="201"/>
      <c r="N1364" s="124"/>
      <c r="O1364" s="124"/>
      <c r="P1364" s="202"/>
      <c r="Q1364" s="84"/>
      <c r="R1364" s="190"/>
      <c r="S1364" s="196"/>
    </row>
    <row r="1365" spans="1:19" ht="37.15" customHeight="1">
      <c r="A1365" s="196"/>
      <c r="B1365" s="197"/>
      <c r="C1365" s="197"/>
      <c r="D1365" s="124"/>
      <c r="E1365" s="198"/>
      <c r="F1365" s="198"/>
      <c r="G1365" s="197"/>
      <c r="H1365" s="199"/>
      <c r="I1365" s="199"/>
      <c r="J1365" s="197"/>
      <c r="K1365" s="200"/>
      <c r="L1365" s="54"/>
      <c r="M1365" s="201"/>
      <c r="N1365" s="124"/>
      <c r="O1365" s="124"/>
      <c r="P1365" s="202"/>
      <c r="Q1365" s="84"/>
      <c r="R1365" s="190"/>
      <c r="S1365" s="196"/>
    </row>
    <row r="1366" spans="1:19" ht="37.15" customHeight="1">
      <c r="A1366" s="196"/>
      <c r="B1366" s="197"/>
      <c r="C1366" s="197"/>
      <c r="D1366" s="124"/>
      <c r="E1366" s="198"/>
      <c r="F1366" s="198"/>
      <c r="G1366" s="197"/>
      <c r="H1366" s="199"/>
      <c r="I1366" s="199"/>
      <c r="J1366" s="197"/>
      <c r="K1366" s="200"/>
      <c r="L1366" s="54"/>
      <c r="M1366" s="201"/>
      <c r="N1366" s="124"/>
      <c r="O1366" s="124"/>
      <c r="P1366" s="202"/>
      <c r="Q1366" s="84"/>
      <c r="R1366" s="190"/>
      <c r="S1366" s="196"/>
    </row>
    <row r="1367" spans="1:19" ht="37.15" customHeight="1">
      <c r="A1367" s="196"/>
      <c r="B1367" s="197"/>
      <c r="C1367" s="197"/>
      <c r="D1367" s="124"/>
      <c r="E1367" s="198"/>
      <c r="F1367" s="198"/>
      <c r="G1367" s="197"/>
      <c r="H1367" s="199"/>
      <c r="I1367" s="199"/>
      <c r="J1367" s="197"/>
      <c r="K1367" s="200"/>
      <c r="L1367" s="54"/>
      <c r="M1367" s="201"/>
      <c r="N1367" s="124"/>
      <c r="O1367" s="124"/>
      <c r="P1367" s="202"/>
      <c r="Q1367" s="84"/>
      <c r="R1367" s="190"/>
      <c r="S1367" s="196"/>
    </row>
    <row r="1368" spans="1:19" ht="37.15" customHeight="1">
      <c r="A1368" s="196"/>
      <c r="B1368" s="197"/>
      <c r="C1368" s="197"/>
      <c r="D1368" s="124"/>
      <c r="E1368" s="198"/>
      <c r="F1368" s="198"/>
      <c r="G1368" s="197"/>
      <c r="H1368" s="199"/>
      <c r="I1368" s="199"/>
      <c r="J1368" s="197"/>
      <c r="K1368" s="200"/>
      <c r="L1368" s="54"/>
      <c r="M1368" s="201"/>
      <c r="N1368" s="124"/>
      <c r="O1368" s="124"/>
      <c r="P1368" s="202"/>
      <c r="Q1368" s="84"/>
      <c r="R1368" s="190"/>
      <c r="S1368" s="196"/>
    </row>
    <row r="1369" spans="1:19" ht="37.15" customHeight="1">
      <c r="A1369" s="196"/>
      <c r="B1369" s="197"/>
      <c r="C1369" s="197"/>
      <c r="D1369" s="124"/>
      <c r="E1369" s="198"/>
      <c r="F1369" s="198"/>
      <c r="G1369" s="197"/>
      <c r="H1369" s="199"/>
      <c r="I1369" s="199"/>
      <c r="J1369" s="197"/>
      <c r="K1369" s="200"/>
      <c r="L1369" s="54"/>
      <c r="M1369" s="201"/>
      <c r="N1369" s="124"/>
      <c r="O1369" s="124"/>
      <c r="P1369" s="202"/>
      <c r="Q1369" s="84"/>
      <c r="R1369" s="190"/>
      <c r="S1369" s="196"/>
    </row>
    <row r="1370" spans="1:19" ht="37.15" customHeight="1">
      <c r="A1370" s="196"/>
      <c r="B1370" s="197"/>
      <c r="C1370" s="197"/>
      <c r="D1370" s="124"/>
      <c r="E1370" s="198"/>
      <c r="F1370" s="198"/>
      <c r="G1370" s="197"/>
      <c r="H1370" s="199"/>
      <c r="I1370" s="199"/>
      <c r="J1370" s="197"/>
      <c r="K1370" s="200"/>
      <c r="L1370" s="54"/>
      <c r="M1370" s="201"/>
      <c r="N1370" s="124"/>
      <c r="O1370" s="124"/>
      <c r="P1370" s="202"/>
      <c r="Q1370" s="84"/>
      <c r="R1370" s="190"/>
      <c r="S1370" s="196"/>
    </row>
    <row r="1371" spans="1:19" ht="37.15" customHeight="1">
      <c r="A1371" s="196"/>
      <c r="B1371" s="197"/>
      <c r="C1371" s="197"/>
      <c r="D1371" s="124"/>
      <c r="E1371" s="198"/>
      <c r="F1371" s="198"/>
      <c r="G1371" s="197"/>
      <c r="H1371" s="199"/>
      <c r="I1371" s="199"/>
      <c r="J1371" s="197"/>
      <c r="K1371" s="200"/>
      <c r="L1371" s="54"/>
      <c r="M1371" s="201"/>
      <c r="N1371" s="124"/>
      <c r="O1371" s="124"/>
      <c r="P1371" s="202"/>
      <c r="Q1371" s="84"/>
      <c r="R1371" s="190"/>
      <c r="S1371" s="196"/>
    </row>
    <row r="1372" spans="1:19" ht="37.15" customHeight="1">
      <c r="A1372" s="196"/>
      <c r="B1372" s="197"/>
      <c r="C1372" s="197"/>
      <c r="D1372" s="124"/>
      <c r="E1372" s="198"/>
      <c r="F1372" s="198"/>
      <c r="G1372" s="197"/>
      <c r="H1372" s="199"/>
      <c r="I1372" s="199"/>
      <c r="J1372" s="197"/>
      <c r="K1372" s="200"/>
      <c r="L1372" s="54"/>
      <c r="M1372" s="201"/>
      <c r="N1372" s="124"/>
      <c r="O1372" s="124"/>
      <c r="P1372" s="202"/>
      <c r="Q1372" s="84"/>
      <c r="R1372" s="190"/>
      <c r="S1372" s="196"/>
    </row>
    <row r="1373" spans="1:19" ht="37.15" customHeight="1">
      <c r="A1373" s="196"/>
      <c r="B1373" s="197"/>
      <c r="C1373" s="197"/>
      <c r="D1373" s="124"/>
      <c r="E1373" s="198"/>
      <c r="F1373" s="198"/>
      <c r="G1373" s="197"/>
      <c r="H1373" s="199"/>
      <c r="I1373" s="199"/>
      <c r="J1373" s="197"/>
      <c r="K1373" s="200"/>
      <c r="L1373" s="54"/>
      <c r="M1373" s="201"/>
      <c r="N1373" s="124"/>
      <c r="O1373" s="124"/>
      <c r="P1373" s="202"/>
      <c r="Q1373" s="84"/>
      <c r="R1373" s="190"/>
      <c r="S1373" s="196"/>
    </row>
    <row r="1374" spans="1:19" ht="37.15" customHeight="1">
      <c r="A1374" s="196"/>
      <c r="B1374" s="197"/>
      <c r="C1374" s="197"/>
      <c r="D1374" s="124"/>
      <c r="E1374" s="198"/>
      <c r="F1374" s="198"/>
      <c r="G1374" s="197"/>
      <c r="H1374" s="199"/>
      <c r="I1374" s="199"/>
      <c r="J1374" s="197"/>
      <c r="K1374" s="200"/>
      <c r="L1374" s="54"/>
      <c r="M1374" s="201"/>
      <c r="N1374" s="124"/>
      <c r="O1374" s="124"/>
      <c r="P1374" s="202"/>
      <c r="Q1374" s="84"/>
      <c r="R1374" s="190"/>
      <c r="S1374" s="196"/>
    </row>
    <row r="1375" spans="1:19" ht="37.15" customHeight="1">
      <c r="A1375" s="196"/>
      <c r="B1375" s="197"/>
      <c r="C1375" s="197"/>
      <c r="D1375" s="124"/>
      <c r="E1375" s="198"/>
      <c r="F1375" s="198"/>
      <c r="G1375" s="197"/>
      <c r="H1375" s="199"/>
      <c r="I1375" s="199"/>
      <c r="J1375" s="197"/>
      <c r="K1375" s="200"/>
      <c r="L1375" s="54"/>
      <c r="M1375" s="201"/>
      <c r="N1375" s="124"/>
      <c r="O1375" s="124"/>
      <c r="P1375" s="202"/>
      <c r="Q1375" s="84"/>
      <c r="R1375" s="190"/>
      <c r="S1375" s="196"/>
    </row>
    <row r="1376" spans="1:19" ht="37.15" customHeight="1">
      <c r="A1376" s="196"/>
      <c r="B1376" s="197"/>
      <c r="C1376" s="197"/>
      <c r="D1376" s="124"/>
      <c r="E1376" s="198"/>
      <c r="F1376" s="198"/>
      <c r="G1376" s="197"/>
      <c r="H1376" s="199"/>
      <c r="I1376" s="199"/>
      <c r="J1376" s="197"/>
      <c r="K1376" s="200"/>
      <c r="L1376" s="54"/>
      <c r="M1376" s="201"/>
      <c r="N1376" s="124"/>
      <c r="O1376" s="124"/>
      <c r="P1376" s="202"/>
      <c r="Q1376" s="84"/>
      <c r="R1376" s="190"/>
      <c r="S1376" s="196"/>
    </row>
    <row r="1377" spans="1:19" ht="37.15" customHeight="1">
      <c r="A1377" s="196"/>
      <c r="B1377" s="197"/>
      <c r="C1377" s="197"/>
      <c r="D1377" s="124"/>
      <c r="E1377" s="198"/>
      <c r="F1377" s="198"/>
      <c r="G1377" s="197"/>
      <c r="H1377" s="199"/>
      <c r="I1377" s="199"/>
      <c r="J1377" s="197"/>
      <c r="K1377" s="200"/>
      <c r="L1377" s="54"/>
      <c r="M1377" s="201"/>
      <c r="N1377" s="124"/>
      <c r="O1377" s="124"/>
      <c r="P1377" s="202"/>
      <c r="Q1377" s="84"/>
      <c r="R1377" s="190"/>
      <c r="S1377" s="196"/>
    </row>
    <row r="1378" spans="1:19" ht="37.15" customHeight="1">
      <c r="A1378" s="196"/>
      <c r="B1378" s="197"/>
      <c r="C1378" s="197"/>
      <c r="D1378" s="124"/>
      <c r="E1378" s="198"/>
      <c r="F1378" s="198"/>
      <c r="G1378" s="197"/>
      <c r="H1378" s="199"/>
      <c r="I1378" s="199"/>
      <c r="J1378" s="197"/>
      <c r="K1378" s="200"/>
      <c r="L1378" s="54"/>
      <c r="M1378" s="201"/>
      <c r="N1378" s="124"/>
      <c r="O1378" s="124"/>
      <c r="P1378" s="202"/>
      <c r="Q1378" s="84"/>
      <c r="R1378" s="190"/>
      <c r="S1378" s="196"/>
    </row>
    <row r="1379" spans="1:19" ht="37.15" customHeight="1">
      <c r="A1379" s="196"/>
      <c r="B1379" s="197"/>
      <c r="C1379" s="197"/>
      <c r="D1379" s="124"/>
      <c r="E1379" s="198"/>
      <c r="F1379" s="198"/>
      <c r="G1379" s="197"/>
      <c r="H1379" s="199"/>
      <c r="I1379" s="199"/>
      <c r="J1379" s="197"/>
      <c r="K1379" s="200"/>
      <c r="L1379" s="54"/>
      <c r="M1379" s="201"/>
      <c r="N1379" s="124"/>
      <c r="O1379" s="124"/>
      <c r="P1379" s="202"/>
      <c r="Q1379" s="84"/>
      <c r="R1379" s="190"/>
      <c r="S1379" s="196"/>
    </row>
    <row r="1380" spans="1:19" ht="37.15" customHeight="1">
      <c r="A1380" s="196"/>
      <c r="B1380" s="197"/>
      <c r="C1380" s="197"/>
      <c r="D1380" s="124"/>
      <c r="E1380" s="198"/>
      <c r="F1380" s="198"/>
      <c r="G1380" s="197"/>
      <c r="H1380" s="199"/>
      <c r="I1380" s="199"/>
      <c r="J1380" s="197"/>
      <c r="K1380" s="200"/>
      <c r="L1380" s="54"/>
      <c r="M1380" s="201"/>
      <c r="N1380" s="124"/>
      <c r="O1380" s="124"/>
      <c r="P1380" s="202"/>
      <c r="Q1380" s="84"/>
      <c r="R1380" s="190"/>
      <c r="S1380" s="196"/>
    </row>
    <row r="1381" spans="1:19" ht="37.15" customHeight="1">
      <c r="A1381" s="196"/>
      <c r="B1381" s="197"/>
      <c r="C1381" s="197"/>
      <c r="D1381" s="124"/>
      <c r="E1381" s="198"/>
      <c r="F1381" s="198"/>
      <c r="G1381" s="197"/>
      <c r="H1381" s="199"/>
      <c r="I1381" s="199"/>
      <c r="J1381" s="197"/>
      <c r="K1381" s="200"/>
      <c r="L1381" s="54"/>
      <c r="M1381" s="201"/>
      <c r="N1381" s="124"/>
      <c r="O1381" s="124"/>
      <c r="P1381" s="202"/>
      <c r="Q1381" s="84"/>
      <c r="R1381" s="190"/>
      <c r="S1381" s="196"/>
    </row>
    <row r="1382" spans="1:19" ht="37.15" customHeight="1">
      <c r="A1382" s="196"/>
      <c r="B1382" s="197"/>
      <c r="C1382" s="197"/>
      <c r="D1382" s="124"/>
      <c r="E1382" s="198"/>
      <c r="F1382" s="198"/>
      <c r="G1382" s="197"/>
      <c r="H1382" s="199"/>
      <c r="I1382" s="199"/>
      <c r="J1382" s="197"/>
      <c r="K1382" s="200"/>
      <c r="L1382" s="54"/>
      <c r="M1382" s="201"/>
      <c r="N1382" s="124"/>
      <c r="O1382" s="124"/>
      <c r="P1382" s="202"/>
      <c r="Q1382" s="84"/>
      <c r="R1382" s="190"/>
      <c r="S1382" s="196"/>
    </row>
    <row r="1383" spans="1:19" ht="37.15" customHeight="1">
      <c r="A1383" s="196"/>
      <c r="B1383" s="197"/>
      <c r="C1383" s="197"/>
      <c r="D1383" s="124"/>
      <c r="E1383" s="198"/>
      <c r="F1383" s="198"/>
      <c r="G1383" s="197"/>
      <c r="H1383" s="199"/>
      <c r="I1383" s="199"/>
      <c r="J1383" s="197"/>
      <c r="K1383" s="200"/>
      <c r="L1383" s="54"/>
      <c r="M1383" s="201"/>
      <c r="N1383" s="124"/>
      <c r="O1383" s="124"/>
      <c r="P1383" s="202"/>
      <c r="Q1383" s="84"/>
      <c r="R1383" s="190"/>
      <c r="S1383" s="196"/>
    </row>
    <row r="1384" spans="1:19" ht="37.15" customHeight="1">
      <c r="A1384" s="196"/>
      <c r="B1384" s="197"/>
      <c r="C1384" s="197"/>
      <c r="D1384" s="124"/>
      <c r="E1384" s="198"/>
      <c r="F1384" s="198"/>
      <c r="G1384" s="197"/>
      <c r="H1384" s="199"/>
      <c r="I1384" s="199"/>
      <c r="J1384" s="197"/>
      <c r="K1384" s="200"/>
      <c r="L1384" s="54"/>
      <c r="M1384" s="201"/>
      <c r="N1384" s="124"/>
      <c r="O1384" s="124"/>
      <c r="P1384" s="202"/>
      <c r="Q1384" s="84"/>
      <c r="R1384" s="190"/>
      <c r="S1384" s="196"/>
    </row>
    <row r="1385" spans="1:19" ht="37.15" customHeight="1">
      <c r="A1385" s="196"/>
      <c r="B1385" s="197"/>
      <c r="C1385" s="197"/>
      <c r="D1385" s="124"/>
      <c r="E1385" s="198"/>
      <c r="F1385" s="198"/>
      <c r="G1385" s="197"/>
      <c r="H1385" s="199"/>
      <c r="I1385" s="199"/>
      <c r="J1385" s="197"/>
      <c r="K1385" s="200"/>
      <c r="L1385" s="54"/>
      <c r="M1385" s="201"/>
      <c r="N1385" s="124"/>
      <c r="O1385" s="124"/>
      <c r="P1385" s="202"/>
      <c r="Q1385" s="84"/>
      <c r="R1385" s="190"/>
      <c r="S1385" s="196"/>
    </row>
    <row r="1386" spans="1:19" ht="37.15" customHeight="1">
      <c r="A1386" s="196"/>
      <c r="B1386" s="197"/>
      <c r="C1386" s="197"/>
      <c r="D1386" s="124"/>
      <c r="E1386" s="198"/>
      <c r="F1386" s="198"/>
      <c r="G1386" s="197"/>
      <c r="H1386" s="199"/>
      <c r="I1386" s="199"/>
      <c r="J1386" s="197"/>
      <c r="K1386" s="200"/>
      <c r="L1386" s="54"/>
      <c r="M1386" s="201"/>
      <c r="N1386" s="124"/>
      <c r="O1386" s="124"/>
      <c r="P1386" s="202"/>
      <c r="Q1386" s="84"/>
      <c r="R1386" s="190"/>
      <c r="S1386" s="196"/>
    </row>
    <row r="1387" spans="1:19" ht="37.15" customHeight="1">
      <c r="A1387" s="196"/>
      <c r="B1387" s="197"/>
      <c r="C1387" s="197"/>
      <c r="D1387" s="124"/>
      <c r="E1387" s="198"/>
      <c r="F1387" s="198"/>
      <c r="G1387" s="197"/>
      <c r="H1387" s="199"/>
      <c r="I1387" s="199"/>
      <c r="J1387" s="197"/>
      <c r="K1387" s="200"/>
      <c r="L1387" s="54"/>
      <c r="M1387" s="201"/>
      <c r="N1387" s="124"/>
      <c r="O1387" s="124"/>
      <c r="P1387" s="202"/>
      <c r="Q1387" s="84"/>
      <c r="R1387" s="190"/>
      <c r="S1387" s="196"/>
    </row>
    <row r="1388" spans="1:19" ht="37.15" customHeight="1">
      <c r="A1388" s="196"/>
      <c r="B1388" s="197"/>
      <c r="C1388" s="197"/>
      <c r="D1388" s="124"/>
      <c r="E1388" s="198"/>
      <c r="F1388" s="198"/>
      <c r="G1388" s="197"/>
      <c r="H1388" s="199"/>
      <c r="I1388" s="199"/>
      <c r="J1388" s="197"/>
      <c r="K1388" s="200"/>
      <c r="L1388" s="54"/>
      <c r="M1388" s="201"/>
      <c r="N1388" s="124"/>
      <c r="O1388" s="124"/>
      <c r="P1388" s="202"/>
      <c r="Q1388" s="84"/>
      <c r="R1388" s="190"/>
      <c r="S1388" s="196"/>
    </row>
    <row r="1389" spans="1:19" ht="37.15" customHeight="1">
      <c r="A1389" s="196"/>
      <c r="B1389" s="197"/>
      <c r="C1389" s="197"/>
      <c r="D1389" s="124"/>
      <c r="E1389" s="198"/>
      <c r="F1389" s="198"/>
      <c r="G1389" s="197"/>
      <c r="H1389" s="199"/>
      <c r="I1389" s="199"/>
      <c r="J1389" s="197"/>
      <c r="K1389" s="200"/>
      <c r="L1389" s="54"/>
      <c r="M1389" s="201"/>
      <c r="N1389" s="124"/>
      <c r="O1389" s="124"/>
      <c r="P1389" s="202"/>
      <c r="Q1389" s="84"/>
      <c r="R1389" s="190"/>
      <c r="S1389" s="196"/>
    </row>
    <row r="1390" spans="1:19" ht="37.15" customHeight="1">
      <c r="A1390" s="196"/>
      <c r="B1390" s="197"/>
      <c r="C1390" s="197"/>
      <c r="D1390" s="124"/>
      <c r="E1390" s="198"/>
      <c r="F1390" s="198"/>
      <c r="G1390" s="197"/>
      <c r="H1390" s="199"/>
      <c r="I1390" s="199"/>
      <c r="J1390" s="197"/>
      <c r="K1390" s="200"/>
      <c r="L1390" s="54"/>
      <c r="M1390" s="201"/>
      <c r="N1390" s="124"/>
      <c r="O1390" s="124"/>
      <c r="P1390" s="202"/>
      <c r="Q1390" s="84"/>
      <c r="R1390" s="190"/>
      <c r="S1390" s="196"/>
    </row>
    <row r="1391" spans="1:19" ht="37.15" customHeight="1">
      <c r="A1391" s="196"/>
      <c r="B1391" s="197"/>
      <c r="C1391" s="197"/>
      <c r="D1391" s="124"/>
      <c r="E1391" s="198"/>
      <c r="F1391" s="198"/>
      <c r="G1391" s="197"/>
      <c r="H1391" s="199"/>
      <c r="I1391" s="199"/>
      <c r="J1391" s="197"/>
      <c r="K1391" s="200"/>
      <c r="L1391" s="54"/>
      <c r="M1391" s="201"/>
      <c r="N1391" s="124"/>
      <c r="O1391" s="124"/>
      <c r="P1391" s="202"/>
      <c r="Q1391" s="84"/>
      <c r="R1391" s="190"/>
      <c r="S1391" s="196"/>
    </row>
    <row r="1392" spans="1:19" ht="37.15" customHeight="1">
      <c r="A1392" s="196"/>
      <c r="B1392" s="197"/>
      <c r="C1392" s="197"/>
      <c r="D1392" s="124"/>
      <c r="E1392" s="198"/>
      <c r="F1392" s="198"/>
      <c r="G1392" s="197"/>
      <c r="H1392" s="199"/>
      <c r="I1392" s="199"/>
      <c r="J1392" s="197"/>
      <c r="K1392" s="200"/>
      <c r="L1392" s="54"/>
      <c r="M1392" s="201"/>
      <c r="N1392" s="124"/>
      <c r="O1392" s="124"/>
      <c r="P1392" s="202"/>
      <c r="Q1392" s="84"/>
      <c r="R1392" s="190"/>
      <c r="S1392" s="196"/>
    </row>
    <row r="1393" spans="1:19" ht="37.15" customHeight="1">
      <c r="A1393" s="196"/>
      <c r="B1393" s="197"/>
      <c r="C1393" s="197"/>
      <c r="D1393" s="124"/>
      <c r="E1393" s="198"/>
      <c r="F1393" s="198"/>
      <c r="G1393" s="197"/>
      <c r="H1393" s="199"/>
      <c r="I1393" s="199"/>
      <c r="J1393" s="197"/>
      <c r="K1393" s="200"/>
      <c r="L1393" s="54"/>
      <c r="M1393" s="201"/>
      <c r="N1393" s="124"/>
      <c r="O1393" s="124"/>
      <c r="P1393" s="202"/>
      <c r="Q1393" s="84"/>
      <c r="R1393" s="190"/>
      <c r="S1393" s="196"/>
    </row>
    <row r="1394" spans="1:19" ht="37.15" customHeight="1">
      <c r="A1394" s="196"/>
      <c r="B1394" s="197"/>
      <c r="C1394" s="197"/>
      <c r="D1394" s="124"/>
      <c r="E1394" s="198"/>
      <c r="F1394" s="198"/>
      <c r="G1394" s="197"/>
      <c r="H1394" s="199"/>
      <c r="I1394" s="199"/>
      <c r="J1394" s="197"/>
      <c r="K1394" s="200"/>
      <c r="L1394" s="54"/>
      <c r="M1394" s="201"/>
      <c r="N1394" s="124"/>
      <c r="O1394" s="124"/>
      <c r="P1394" s="202"/>
      <c r="Q1394" s="84"/>
      <c r="R1394" s="190"/>
      <c r="S1394" s="196"/>
    </row>
    <row r="1395" spans="1:19" ht="37.15" customHeight="1">
      <c r="A1395" s="196"/>
      <c r="B1395" s="197"/>
      <c r="C1395" s="197"/>
      <c r="D1395" s="124"/>
      <c r="E1395" s="198"/>
      <c r="F1395" s="198"/>
      <c r="G1395" s="197"/>
      <c r="H1395" s="199"/>
      <c r="I1395" s="199"/>
      <c r="J1395" s="197"/>
      <c r="K1395" s="200"/>
      <c r="L1395" s="54"/>
      <c r="M1395" s="201"/>
      <c r="N1395" s="124"/>
      <c r="O1395" s="124"/>
      <c r="P1395" s="202"/>
      <c r="Q1395" s="84"/>
      <c r="R1395" s="190"/>
      <c r="S1395" s="196"/>
    </row>
    <row r="1396" spans="1:19" ht="37.15" customHeight="1">
      <c r="A1396" s="196"/>
      <c r="B1396" s="197"/>
      <c r="C1396" s="197"/>
      <c r="D1396" s="124"/>
      <c r="E1396" s="198"/>
      <c r="F1396" s="198"/>
      <c r="G1396" s="197"/>
      <c r="H1396" s="199"/>
      <c r="I1396" s="199"/>
      <c r="J1396" s="197"/>
      <c r="K1396" s="200"/>
      <c r="L1396" s="54"/>
      <c r="M1396" s="201"/>
      <c r="N1396" s="124"/>
      <c r="O1396" s="124"/>
      <c r="P1396" s="202"/>
      <c r="Q1396" s="84"/>
      <c r="R1396" s="190"/>
      <c r="S1396" s="196"/>
    </row>
    <row r="1397" spans="1:19" ht="37.15" customHeight="1">
      <c r="A1397" s="196"/>
      <c r="B1397" s="197"/>
      <c r="C1397" s="197"/>
      <c r="D1397" s="124"/>
      <c r="E1397" s="198"/>
      <c r="F1397" s="198"/>
      <c r="G1397" s="197"/>
      <c r="H1397" s="199"/>
      <c r="I1397" s="199"/>
      <c r="J1397" s="197"/>
      <c r="K1397" s="200"/>
      <c r="L1397" s="54"/>
      <c r="M1397" s="201"/>
      <c r="N1397" s="124"/>
      <c r="O1397" s="124"/>
      <c r="P1397" s="202"/>
      <c r="Q1397" s="84"/>
      <c r="R1397" s="190"/>
      <c r="S1397" s="196"/>
    </row>
    <row r="1398" spans="1:19" ht="37.15" customHeight="1">
      <c r="A1398" s="196"/>
      <c r="B1398" s="197"/>
      <c r="C1398" s="197"/>
      <c r="D1398" s="124"/>
      <c r="E1398" s="198"/>
      <c r="F1398" s="198"/>
      <c r="G1398" s="197"/>
      <c r="H1398" s="199"/>
      <c r="I1398" s="199"/>
      <c r="J1398" s="197"/>
      <c r="K1398" s="200"/>
      <c r="L1398" s="54"/>
      <c r="M1398" s="201"/>
      <c r="N1398" s="124"/>
      <c r="O1398" s="124"/>
      <c r="P1398" s="202"/>
      <c r="Q1398" s="84"/>
      <c r="R1398" s="190"/>
      <c r="S1398" s="196"/>
    </row>
    <row r="1399" spans="1:19" ht="37.15" customHeight="1">
      <c r="A1399" s="196"/>
      <c r="B1399" s="197"/>
      <c r="C1399" s="197"/>
      <c r="D1399" s="124"/>
      <c r="E1399" s="198"/>
      <c r="F1399" s="198"/>
      <c r="G1399" s="197"/>
      <c r="H1399" s="199"/>
      <c r="I1399" s="199"/>
      <c r="J1399" s="197"/>
      <c r="K1399" s="200"/>
      <c r="L1399" s="54"/>
      <c r="M1399" s="201"/>
      <c r="N1399" s="124"/>
      <c r="O1399" s="124"/>
      <c r="P1399" s="202"/>
      <c r="Q1399" s="84"/>
      <c r="R1399" s="190"/>
      <c r="S1399" s="196"/>
    </row>
    <row r="1400" spans="1:19" ht="37.15" customHeight="1">
      <c r="A1400" s="196"/>
      <c r="B1400" s="197"/>
      <c r="C1400" s="197"/>
      <c r="D1400" s="124"/>
      <c r="E1400" s="198"/>
      <c r="F1400" s="198"/>
      <c r="G1400" s="197"/>
      <c r="H1400" s="199"/>
      <c r="I1400" s="199"/>
      <c r="J1400" s="197"/>
      <c r="K1400" s="200"/>
      <c r="L1400" s="54"/>
      <c r="M1400" s="201"/>
      <c r="N1400" s="124"/>
      <c r="O1400" s="124"/>
      <c r="P1400" s="202"/>
      <c r="Q1400" s="84"/>
      <c r="R1400" s="190"/>
      <c r="S1400" s="196"/>
    </row>
    <row r="1401" spans="1:19" ht="37.15" customHeight="1">
      <c r="A1401" s="196"/>
      <c r="B1401" s="197"/>
      <c r="C1401" s="197"/>
      <c r="D1401" s="124"/>
      <c r="E1401" s="198"/>
      <c r="F1401" s="198"/>
      <c r="G1401" s="197"/>
      <c r="H1401" s="199"/>
      <c r="I1401" s="199"/>
      <c r="J1401" s="197"/>
      <c r="K1401" s="200"/>
      <c r="L1401" s="54"/>
      <c r="M1401" s="201"/>
      <c r="N1401" s="124"/>
      <c r="O1401" s="124"/>
      <c r="P1401" s="202"/>
      <c r="Q1401" s="84"/>
      <c r="R1401" s="190"/>
      <c r="S1401" s="196"/>
    </row>
    <row r="1402" spans="1:19" ht="37.15" customHeight="1">
      <c r="A1402" s="196"/>
      <c r="B1402" s="197"/>
      <c r="C1402" s="197"/>
      <c r="D1402" s="124"/>
      <c r="E1402" s="198"/>
      <c r="F1402" s="198"/>
      <c r="G1402" s="197"/>
      <c r="H1402" s="199"/>
      <c r="I1402" s="199"/>
      <c r="J1402" s="197"/>
      <c r="K1402" s="200"/>
      <c r="L1402" s="54"/>
      <c r="M1402" s="201"/>
      <c r="N1402" s="124"/>
      <c r="O1402" s="124"/>
      <c r="P1402" s="202"/>
      <c r="Q1402" s="84"/>
      <c r="R1402" s="190"/>
      <c r="S1402" s="196"/>
    </row>
    <row r="1403" spans="1:19" ht="37.15" customHeight="1">
      <c r="A1403" s="196"/>
      <c r="B1403" s="197"/>
      <c r="C1403" s="197"/>
      <c r="D1403" s="124"/>
      <c r="E1403" s="198"/>
      <c r="F1403" s="198"/>
      <c r="G1403" s="197"/>
      <c r="H1403" s="199"/>
      <c r="I1403" s="199"/>
      <c r="J1403" s="197"/>
      <c r="K1403" s="200"/>
      <c r="L1403" s="54"/>
      <c r="M1403" s="201"/>
      <c r="N1403" s="124"/>
      <c r="O1403" s="124"/>
      <c r="P1403" s="202"/>
      <c r="Q1403" s="84"/>
      <c r="R1403" s="190"/>
      <c r="S1403" s="196"/>
    </row>
    <row r="1404" spans="1:19" ht="37.15" customHeight="1">
      <c r="A1404" s="196"/>
      <c r="B1404" s="197"/>
      <c r="C1404" s="197"/>
      <c r="D1404" s="124"/>
      <c r="E1404" s="198"/>
      <c r="F1404" s="198"/>
      <c r="G1404" s="197"/>
      <c r="H1404" s="199"/>
      <c r="I1404" s="199"/>
      <c r="J1404" s="197"/>
      <c r="K1404" s="200"/>
      <c r="L1404" s="54"/>
      <c r="M1404" s="201"/>
      <c r="N1404" s="124"/>
      <c r="O1404" s="124"/>
      <c r="P1404" s="202"/>
      <c r="Q1404" s="84"/>
      <c r="R1404" s="190"/>
      <c r="S1404" s="196"/>
    </row>
    <row r="1405" spans="1:19" ht="37.15" customHeight="1">
      <c r="A1405" s="196"/>
      <c r="B1405" s="197"/>
      <c r="C1405" s="197"/>
      <c r="D1405" s="124"/>
      <c r="E1405" s="198"/>
      <c r="F1405" s="198"/>
      <c r="G1405" s="197"/>
      <c r="H1405" s="199"/>
      <c r="I1405" s="199"/>
      <c r="J1405" s="197"/>
      <c r="K1405" s="200"/>
      <c r="L1405" s="54"/>
      <c r="M1405" s="201"/>
      <c r="N1405" s="124"/>
      <c r="O1405" s="124"/>
      <c r="P1405" s="202"/>
      <c r="Q1405" s="84"/>
      <c r="R1405" s="190"/>
      <c r="S1405" s="196"/>
    </row>
    <row r="1406" spans="1:19" ht="37.15" customHeight="1">
      <c r="A1406" s="196"/>
      <c r="B1406" s="197"/>
      <c r="C1406" s="197"/>
      <c r="D1406" s="124"/>
      <c r="E1406" s="198"/>
      <c r="F1406" s="198"/>
      <c r="G1406" s="197"/>
      <c r="H1406" s="199"/>
      <c r="I1406" s="199"/>
      <c r="J1406" s="197"/>
      <c r="K1406" s="200"/>
      <c r="L1406" s="54"/>
      <c r="M1406" s="201"/>
      <c r="N1406" s="124"/>
      <c r="O1406" s="124"/>
      <c r="P1406" s="202"/>
      <c r="Q1406" s="84"/>
      <c r="R1406" s="190"/>
      <c r="S1406" s="196"/>
    </row>
    <row r="1407" spans="1:19" ht="37.15" customHeight="1">
      <c r="A1407" s="196"/>
      <c r="B1407" s="197"/>
      <c r="C1407" s="197"/>
      <c r="D1407" s="124"/>
      <c r="E1407" s="198"/>
      <c r="F1407" s="198"/>
      <c r="G1407" s="197"/>
      <c r="H1407" s="199"/>
      <c r="I1407" s="199"/>
      <c r="J1407" s="197"/>
      <c r="K1407" s="200"/>
      <c r="L1407" s="54"/>
      <c r="M1407" s="201"/>
      <c r="N1407" s="124"/>
      <c r="O1407" s="124"/>
      <c r="P1407" s="202"/>
      <c r="Q1407" s="84"/>
      <c r="R1407" s="190"/>
      <c r="S1407" s="196"/>
    </row>
    <row r="1408" spans="1:19" ht="37.15" customHeight="1">
      <c r="A1408" s="196"/>
      <c r="B1408" s="197"/>
      <c r="C1408" s="197"/>
      <c r="D1408" s="124"/>
      <c r="E1408" s="198"/>
      <c r="F1408" s="198"/>
      <c r="G1408" s="197"/>
      <c r="H1408" s="199"/>
      <c r="I1408" s="199"/>
      <c r="J1408" s="197"/>
      <c r="K1408" s="200"/>
      <c r="L1408" s="54"/>
      <c r="M1408" s="201"/>
      <c r="N1408" s="124"/>
      <c r="O1408" s="124"/>
      <c r="P1408" s="202"/>
      <c r="Q1408" s="84"/>
      <c r="R1408" s="190"/>
      <c r="S1408" s="196"/>
    </row>
    <row r="1409" spans="1:19" ht="37.15" customHeight="1">
      <c r="A1409" s="196"/>
      <c r="B1409" s="197"/>
      <c r="C1409" s="197"/>
      <c r="D1409" s="124"/>
      <c r="E1409" s="198"/>
      <c r="F1409" s="198"/>
      <c r="G1409" s="197"/>
      <c r="H1409" s="199"/>
      <c r="I1409" s="199"/>
      <c r="J1409" s="197"/>
      <c r="K1409" s="200"/>
      <c r="L1409" s="54"/>
      <c r="M1409" s="201"/>
      <c r="N1409" s="124"/>
      <c r="O1409" s="124"/>
      <c r="P1409" s="202"/>
      <c r="Q1409" s="84"/>
      <c r="R1409" s="190"/>
      <c r="S1409" s="196"/>
    </row>
    <row r="1410" spans="1:19" ht="37.15" customHeight="1">
      <c r="A1410" s="196"/>
      <c r="B1410" s="197"/>
      <c r="C1410" s="197"/>
      <c r="D1410" s="124"/>
      <c r="E1410" s="198"/>
      <c r="F1410" s="198"/>
      <c r="G1410" s="197"/>
      <c r="H1410" s="199"/>
      <c r="I1410" s="199"/>
      <c r="J1410" s="197"/>
      <c r="K1410" s="200"/>
      <c r="L1410" s="54"/>
      <c r="M1410" s="201"/>
      <c r="N1410" s="124"/>
      <c r="O1410" s="124"/>
      <c r="P1410" s="202"/>
      <c r="Q1410" s="84"/>
      <c r="R1410" s="190"/>
      <c r="S1410" s="196"/>
    </row>
    <row r="1411" spans="1:19" ht="37.15" customHeight="1">
      <c r="A1411" s="196"/>
      <c r="B1411" s="197"/>
      <c r="C1411" s="197"/>
      <c r="D1411" s="124"/>
      <c r="E1411" s="198"/>
      <c r="F1411" s="198"/>
      <c r="G1411" s="197"/>
      <c r="H1411" s="199"/>
      <c r="I1411" s="199"/>
      <c r="J1411" s="197"/>
      <c r="K1411" s="200"/>
      <c r="L1411" s="54"/>
      <c r="M1411" s="201"/>
      <c r="N1411" s="124"/>
      <c r="O1411" s="124"/>
      <c r="P1411" s="202"/>
      <c r="Q1411" s="84"/>
      <c r="R1411" s="190"/>
      <c r="S1411" s="196"/>
    </row>
    <row r="1412" spans="1:19" ht="37.15" customHeight="1">
      <c r="A1412" s="196"/>
      <c r="B1412" s="197"/>
      <c r="C1412" s="197"/>
      <c r="D1412" s="124"/>
      <c r="E1412" s="198"/>
      <c r="F1412" s="198"/>
      <c r="G1412" s="197"/>
      <c r="H1412" s="199"/>
      <c r="I1412" s="199"/>
      <c r="J1412" s="197"/>
      <c r="K1412" s="200"/>
      <c r="L1412" s="54"/>
      <c r="M1412" s="201"/>
      <c r="N1412" s="124"/>
      <c r="O1412" s="124"/>
      <c r="P1412" s="202"/>
      <c r="Q1412" s="84"/>
      <c r="R1412" s="190"/>
      <c r="S1412" s="196"/>
    </row>
    <row r="1413" spans="1:19" ht="37.15" customHeight="1">
      <c r="A1413" s="196"/>
      <c r="B1413" s="197"/>
      <c r="C1413" s="197"/>
      <c r="D1413" s="124"/>
      <c r="E1413" s="198"/>
      <c r="F1413" s="198"/>
      <c r="G1413" s="197"/>
      <c r="H1413" s="199"/>
      <c r="I1413" s="199"/>
      <c r="J1413" s="197"/>
      <c r="K1413" s="200"/>
      <c r="L1413" s="54"/>
      <c r="M1413" s="201"/>
      <c r="N1413" s="124"/>
      <c r="O1413" s="124"/>
      <c r="P1413" s="202"/>
      <c r="Q1413" s="84"/>
      <c r="R1413" s="190"/>
      <c r="S1413" s="196"/>
    </row>
    <row r="1414" spans="1:19" ht="37.15" customHeight="1">
      <c r="A1414" s="196"/>
      <c r="B1414" s="197"/>
      <c r="C1414" s="197"/>
      <c r="D1414" s="124"/>
      <c r="E1414" s="198"/>
      <c r="F1414" s="198"/>
      <c r="G1414" s="197"/>
      <c r="H1414" s="199"/>
      <c r="I1414" s="199"/>
      <c r="J1414" s="197"/>
      <c r="K1414" s="200"/>
      <c r="L1414" s="54"/>
      <c r="M1414" s="201"/>
      <c r="N1414" s="124"/>
      <c r="O1414" s="124"/>
      <c r="P1414" s="202"/>
      <c r="Q1414" s="84"/>
      <c r="R1414" s="190"/>
      <c r="S1414" s="196"/>
    </row>
    <row r="1415" spans="1:19" ht="37.15" customHeight="1">
      <c r="A1415" s="196"/>
      <c r="B1415" s="197"/>
      <c r="C1415" s="197"/>
      <c r="D1415" s="124"/>
      <c r="E1415" s="198"/>
      <c r="F1415" s="198"/>
      <c r="G1415" s="197"/>
      <c r="H1415" s="199"/>
      <c r="I1415" s="199"/>
      <c r="J1415" s="197"/>
      <c r="K1415" s="200"/>
      <c r="L1415" s="54"/>
      <c r="M1415" s="201"/>
      <c r="N1415" s="124"/>
      <c r="O1415" s="124"/>
      <c r="P1415" s="202"/>
      <c r="Q1415" s="84"/>
      <c r="R1415" s="190"/>
      <c r="S1415" s="196"/>
    </row>
    <row r="1416" spans="1:19" ht="37.15" customHeight="1">
      <c r="A1416" s="196"/>
      <c r="B1416" s="197"/>
      <c r="C1416" s="197"/>
      <c r="D1416" s="124"/>
      <c r="E1416" s="198"/>
      <c r="F1416" s="198"/>
      <c r="G1416" s="197"/>
      <c r="H1416" s="199"/>
      <c r="I1416" s="199"/>
      <c r="J1416" s="197"/>
      <c r="K1416" s="200"/>
      <c r="L1416" s="54"/>
      <c r="M1416" s="201"/>
      <c r="N1416" s="124"/>
      <c r="O1416" s="124"/>
      <c r="P1416" s="202"/>
      <c r="Q1416" s="84"/>
      <c r="R1416" s="190"/>
      <c r="S1416" s="196"/>
    </row>
    <row r="1417" spans="1:19" ht="37.15" customHeight="1">
      <c r="A1417" s="196"/>
      <c r="B1417" s="197"/>
      <c r="C1417" s="197"/>
      <c r="D1417" s="124"/>
      <c r="E1417" s="198"/>
      <c r="F1417" s="198"/>
      <c r="G1417" s="197"/>
      <c r="H1417" s="199"/>
      <c r="I1417" s="199"/>
      <c r="J1417" s="197"/>
      <c r="K1417" s="200"/>
      <c r="L1417" s="54"/>
      <c r="M1417" s="201"/>
      <c r="N1417" s="124"/>
      <c r="O1417" s="124"/>
      <c r="P1417" s="202"/>
      <c r="Q1417" s="84"/>
      <c r="R1417" s="190"/>
      <c r="S1417" s="196"/>
    </row>
    <row r="1418" spans="1:19" ht="37.15" customHeight="1">
      <c r="A1418" s="196"/>
      <c r="B1418" s="197"/>
      <c r="C1418" s="197"/>
      <c r="D1418" s="124"/>
      <c r="E1418" s="198"/>
      <c r="F1418" s="198"/>
      <c r="G1418" s="197"/>
      <c r="H1418" s="199"/>
      <c r="I1418" s="199"/>
      <c r="J1418" s="197"/>
      <c r="K1418" s="200"/>
      <c r="L1418" s="54"/>
      <c r="M1418" s="201"/>
      <c r="N1418" s="124"/>
      <c r="O1418" s="124"/>
      <c r="P1418" s="202"/>
      <c r="Q1418" s="84"/>
      <c r="R1418" s="190"/>
      <c r="S1418" s="196"/>
    </row>
    <row r="1419" spans="1:19" ht="37.15" customHeight="1">
      <c r="A1419" s="196"/>
      <c r="B1419" s="197"/>
      <c r="C1419" s="197"/>
      <c r="D1419" s="124"/>
      <c r="E1419" s="198"/>
      <c r="F1419" s="198"/>
      <c r="G1419" s="197"/>
      <c r="H1419" s="199"/>
      <c r="I1419" s="199"/>
      <c r="J1419" s="197"/>
      <c r="K1419" s="200"/>
      <c r="L1419" s="54"/>
      <c r="M1419" s="201"/>
      <c r="N1419" s="124"/>
      <c r="O1419" s="124"/>
      <c r="P1419" s="202"/>
      <c r="Q1419" s="84"/>
      <c r="R1419" s="190"/>
      <c r="S1419" s="196"/>
    </row>
    <row r="1420" spans="1:19" ht="37.15" customHeight="1">
      <c r="A1420" s="196"/>
      <c r="B1420" s="197"/>
      <c r="C1420" s="197"/>
      <c r="D1420" s="124"/>
      <c r="E1420" s="198"/>
      <c r="F1420" s="198"/>
      <c r="G1420" s="197"/>
      <c r="H1420" s="199"/>
      <c r="I1420" s="199"/>
      <c r="J1420" s="197"/>
      <c r="K1420" s="200"/>
      <c r="L1420" s="54"/>
      <c r="M1420" s="201"/>
      <c r="N1420" s="124"/>
      <c r="O1420" s="124"/>
      <c r="P1420" s="202"/>
      <c r="Q1420" s="84"/>
      <c r="R1420" s="190"/>
      <c r="S1420" s="196"/>
    </row>
    <row r="1421" spans="1:19" ht="37.15" customHeight="1">
      <c r="A1421" s="196"/>
      <c r="B1421" s="197"/>
      <c r="C1421" s="197"/>
      <c r="D1421" s="124"/>
      <c r="E1421" s="198"/>
      <c r="F1421" s="198"/>
      <c r="G1421" s="197"/>
      <c r="H1421" s="199"/>
      <c r="I1421" s="199"/>
      <c r="J1421" s="197"/>
      <c r="K1421" s="200"/>
      <c r="L1421" s="54"/>
      <c r="M1421" s="201"/>
      <c r="N1421" s="124"/>
      <c r="O1421" s="124"/>
      <c r="P1421" s="202"/>
      <c r="Q1421" s="84"/>
      <c r="R1421" s="190"/>
      <c r="S1421" s="196"/>
    </row>
    <row r="1422" spans="1:19" ht="37.15" customHeight="1">
      <c r="A1422" s="196"/>
      <c r="B1422" s="197"/>
      <c r="C1422" s="197"/>
      <c r="D1422" s="124"/>
      <c r="E1422" s="198"/>
      <c r="F1422" s="198"/>
      <c r="G1422" s="197"/>
      <c r="H1422" s="199"/>
      <c r="I1422" s="199"/>
      <c r="J1422" s="197"/>
      <c r="K1422" s="200"/>
      <c r="L1422" s="54"/>
      <c r="M1422" s="201"/>
      <c r="N1422" s="124"/>
      <c r="O1422" s="124"/>
      <c r="P1422" s="202"/>
      <c r="Q1422" s="84"/>
      <c r="R1422" s="190"/>
      <c r="S1422" s="196"/>
    </row>
    <row r="1423" spans="1:19" ht="37.15" customHeight="1">
      <c r="A1423" s="196"/>
      <c r="B1423" s="197"/>
      <c r="C1423" s="197"/>
      <c r="D1423" s="124"/>
      <c r="E1423" s="198"/>
      <c r="F1423" s="198"/>
      <c r="G1423" s="197"/>
      <c r="H1423" s="199"/>
      <c r="I1423" s="199"/>
      <c r="J1423" s="197"/>
      <c r="K1423" s="200"/>
      <c r="L1423" s="54"/>
      <c r="M1423" s="201"/>
      <c r="N1423" s="124"/>
      <c r="O1423" s="124"/>
      <c r="P1423" s="202"/>
      <c r="Q1423" s="84"/>
      <c r="R1423" s="190"/>
      <c r="S1423" s="196"/>
    </row>
  </sheetData>
  <phoneticPr fontId="10" type="noConversion"/>
  <conditionalFormatting sqref="D3:D14 D120:D207 D209:D256">
    <cfRule type="colorScale" priority="1397">
      <colorScale>
        <cfvo type="min"/>
        <cfvo type="max"/>
        <color rgb="FFFF7128"/>
        <color rgb="FFFFEF9C"/>
      </colorScale>
    </cfRule>
  </conditionalFormatting>
  <conditionalFormatting sqref="D3:D1423">
    <cfRule type="containsText" dxfId="22" priority="21" operator="containsText" text="Change Alert">
      <formula>NOT(ISERROR(SEARCH("Change Alert",D3)))</formula>
    </cfRule>
    <cfRule type="containsText" dxfId="21" priority="22" operator="containsText" text="Quality Alert">
      <formula>NOT(ISERROR(SEARCH("Quality Alert",D3)))</formula>
    </cfRule>
  </conditionalFormatting>
  <conditionalFormatting sqref="D15:D22">
    <cfRule type="colorScale" priority="1072">
      <colorScale>
        <cfvo type="min"/>
        <cfvo type="max"/>
        <color rgb="FFFF7128"/>
        <color rgb="FFFFEF9C"/>
      </colorScale>
    </cfRule>
  </conditionalFormatting>
  <conditionalFormatting sqref="D23">
    <cfRule type="colorScale" priority="1063">
      <colorScale>
        <cfvo type="min"/>
        <cfvo type="max"/>
        <color rgb="FFFF7128"/>
        <color rgb="FFFFEF9C"/>
      </colorScale>
    </cfRule>
  </conditionalFormatting>
  <conditionalFormatting sqref="D24:D28">
    <cfRule type="colorScale" priority="1088">
      <colorScale>
        <cfvo type="min"/>
        <cfvo type="max"/>
        <color rgb="FFFF7128"/>
        <color rgb="FFFFEF9C"/>
      </colorScale>
    </cfRule>
  </conditionalFormatting>
  <conditionalFormatting sqref="D29:D35">
    <cfRule type="colorScale" priority="1104">
      <colorScale>
        <cfvo type="min"/>
        <cfvo type="max"/>
        <color rgb="FFFF7128"/>
        <color rgb="FFFFEF9C"/>
      </colorScale>
    </cfRule>
  </conditionalFormatting>
  <conditionalFormatting sqref="D36:D42">
    <cfRule type="colorScale" priority="1120">
      <colorScale>
        <cfvo type="min"/>
        <cfvo type="max"/>
        <color rgb="FFFF7128"/>
        <color rgb="FFFFEF9C"/>
      </colorScale>
    </cfRule>
  </conditionalFormatting>
  <conditionalFormatting sqref="D43:D52">
    <cfRule type="colorScale" priority="1136">
      <colorScale>
        <cfvo type="min"/>
        <cfvo type="max"/>
        <color rgb="FFFF7128"/>
        <color rgb="FFFFEF9C"/>
      </colorScale>
    </cfRule>
  </conditionalFormatting>
  <conditionalFormatting sqref="D53:D56">
    <cfRule type="colorScale" priority="1152">
      <colorScale>
        <cfvo type="min"/>
        <cfvo type="max"/>
        <color rgb="FFFF7128"/>
        <color rgb="FFFFEF9C"/>
      </colorScale>
    </cfRule>
  </conditionalFormatting>
  <conditionalFormatting sqref="D57:D63">
    <cfRule type="colorScale" priority="1168">
      <colorScale>
        <cfvo type="min"/>
        <cfvo type="max"/>
        <color rgb="FFFF7128"/>
        <color rgb="FFFFEF9C"/>
      </colorScale>
    </cfRule>
  </conditionalFormatting>
  <conditionalFormatting sqref="D64:D71">
    <cfRule type="colorScale" priority="1184">
      <colorScale>
        <cfvo type="min"/>
        <cfvo type="max"/>
        <color rgb="FFFF7128"/>
        <color rgb="FFFFEF9C"/>
      </colorScale>
    </cfRule>
  </conditionalFormatting>
  <conditionalFormatting sqref="D72:D77">
    <cfRule type="colorScale" priority="1200">
      <colorScale>
        <cfvo type="min"/>
        <cfvo type="max"/>
        <color rgb="FFFF7128"/>
        <color rgb="FFFFEF9C"/>
      </colorScale>
    </cfRule>
  </conditionalFormatting>
  <conditionalFormatting sqref="D78:D84">
    <cfRule type="colorScale" priority="1216">
      <colorScale>
        <cfvo type="min"/>
        <cfvo type="max"/>
        <color rgb="FFFF7128"/>
        <color rgb="FFFFEF9C"/>
      </colorScale>
    </cfRule>
  </conditionalFormatting>
  <conditionalFormatting sqref="D85:D92">
    <cfRule type="colorScale" priority="1232">
      <colorScale>
        <cfvo type="min"/>
        <cfvo type="max"/>
        <color rgb="FFFF7128"/>
        <color rgb="FFFFEF9C"/>
      </colorScale>
    </cfRule>
  </conditionalFormatting>
  <conditionalFormatting sqref="D93:D98">
    <cfRule type="colorScale" priority="1248">
      <colorScale>
        <cfvo type="min"/>
        <cfvo type="max"/>
        <color rgb="FFFF7128"/>
        <color rgb="FFFFEF9C"/>
      </colorScale>
    </cfRule>
  </conditionalFormatting>
  <conditionalFormatting sqref="D99:D105">
    <cfRule type="colorScale" priority="1264">
      <colorScale>
        <cfvo type="min"/>
        <cfvo type="max"/>
        <color rgb="FFFF7128"/>
        <color rgb="FFFFEF9C"/>
      </colorScale>
    </cfRule>
  </conditionalFormatting>
  <conditionalFormatting sqref="D106:D112">
    <cfRule type="colorScale" priority="1280">
      <colorScale>
        <cfvo type="min"/>
        <cfvo type="max"/>
        <color rgb="FFFF7128"/>
        <color rgb="FFFFEF9C"/>
      </colorScale>
    </cfRule>
  </conditionalFormatting>
  <conditionalFormatting sqref="D113:D119">
    <cfRule type="colorScale" priority="1296">
      <colorScale>
        <cfvo type="min"/>
        <cfvo type="max"/>
        <color rgb="FFFF7128"/>
        <color rgb="FFFFEF9C"/>
      </colorScale>
    </cfRule>
  </conditionalFormatting>
  <conditionalFormatting sqref="D208">
    <cfRule type="colorScale" priority="960">
      <colorScale>
        <cfvo type="min"/>
        <cfvo type="max"/>
        <color rgb="FFFF7128"/>
        <color rgb="FFFFEF9C"/>
      </colorScale>
    </cfRule>
  </conditionalFormatting>
  <conditionalFormatting sqref="D257:D261">
    <cfRule type="colorScale" priority="907">
      <colorScale>
        <cfvo type="min"/>
        <cfvo type="max"/>
        <color rgb="FFFF7128"/>
        <color rgb="FFFFEF9C"/>
      </colorScale>
    </cfRule>
  </conditionalFormatting>
  <conditionalFormatting sqref="D262:D266">
    <cfRule type="colorScale" priority="899">
      <colorScale>
        <cfvo type="min"/>
        <cfvo type="max"/>
        <color rgb="FFFF7128"/>
        <color rgb="FFFFEF9C"/>
      </colorScale>
    </cfRule>
  </conditionalFormatting>
  <conditionalFormatting sqref="D267:D271">
    <cfRule type="colorScale" priority="891">
      <colorScale>
        <cfvo type="min"/>
        <cfvo type="max"/>
        <color rgb="FFFF7128"/>
        <color rgb="FFFFEF9C"/>
      </colorScale>
    </cfRule>
  </conditionalFormatting>
  <conditionalFormatting sqref="D272:D276">
    <cfRule type="colorScale" priority="883">
      <colorScale>
        <cfvo type="min"/>
        <cfvo type="max"/>
        <color rgb="FFFF7128"/>
        <color rgb="FFFFEF9C"/>
      </colorScale>
    </cfRule>
  </conditionalFormatting>
  <conditionalFormatting sqref="D277:D281">
    <cfRule type="colorScale" priority="875">
      <colorScale>
        <cfvo type="min"/>
        <cfvo type="max"/>
        <color rgb="FFFF7128"/>
        <color rgb="FFFFEF9C"/>
      </colorScale>
    </cfRule>
  </conditionalFormatting>
  <conditionalFormatting sqref="D282:D286">
    <cfRule type="colorScale" priority="867">
      <colorScale>
        <cfvo type="min"/>
        <cfvo type="max"/>
        <color rgb="FFFF7128"/>
        <color rgb="FFFFEF9C"/>
      </colorScale>
    </cfRule>
  </conditionalFormatting>
  <conditionalFormatting sqref="D287:D319">
    <cfRule type="colorScale" priority="859">
      <colorScale>
        <cfvo type="min"/>
        <cfvo type="max"/>
        <color rgb="FFFF7128"/>
        <color rgb="FFFFEF9C"/>
      </colorScale>
    </cfRule>
  </conditionalFormatting>
  <conditionalFormatting sqref="D320">
    <cfRule type="colorScale" priority="851">
      <colorScale>
        <cfvo type="min"/>
        <cfvo type="max"/>
        <color rgb="FFFF7128"/>
        <color rgb="FFFFEF9C"/>
      </colorScale>
    </cfRule>
  </conditionalFormatting>
  <conditionalFormatting sqref="D321:D323 D325:D327 D329:D331 D333:D335 D337:D339 D341:D343 D345 D349:D351 D353 D347">
    <cfRule type="colorScale" priority="843">
      <colorScale>
        <cfvo type="min"/>
        <cfvo type="max"/>
        <color rgb="FFFF7128"/>
        <color rgb="FFFFEF9C"/>
      </colorScale>
    </cfRule>
  </conditionalFormatting>
  <conditionalFormatting sqref="D324 D328 D332 D336 D340 D344 D348 D352">
    <cfRule type="colorScale" priority="835">
      <colorScale>
        <cfvo type="min"/>
        <cfvo type="max"/>
        <color rgb="FFFF7128"/>
        <color rgb="FFFFEF9C"/>
      </colorScale>
    </cfRule>
  </conditionalFormatting>
  <conditionalFormatting sqref="D346">
    <cfRule type="colorScale" priority="827">
      <colorScale>
        <cfvo type="min"/>
        <cfvo type="max"/>
        <color rgb="FFFF7128"/>
        <color rgb="FFFFEF9C"/>
      </colorScale>
    </cfRule>
  </conditionalFormatting>
  <conditionalFormatting sqref="D355:D357">
    <cfRule type="colorScale" priority="824">
      <colorScale>
        <cfvo type="min"/>
        <cfvo type="max"/>
        <color rgb="FFFF7128"/>
        <color rgb="FFFFEF9C"/>
      </colorScale>
    </cfRule>
  </conditionalFormatting>
  <conditionalFormatting sqref="D358 D354">
    <cfRule type="colorScale" priority="816">
      <colorScale>
        <cfvo type="min"/>
        <cfvo type="max"/>
        <color rgb="FFFF7128"/>
        <color rgb="FFFFEF9C"/>
      </colorScale>
    </cfRule>
  </conditionalFormatting>
  <conditionalFormatting sqref="D360:D362 D364">
    <cfRule type="colorScale" priority="808">
      <colorScale>
        <cfvo type="min"/>
        <cfvo type="max"/>
        <color rgb="FFFF7128"/>
        <color rgb="FFFFEF9C"/>
      </colorScale>
    </cfRule>
  </conditionalFormatting>
  <conditionalFormatting sqref="D363 D359">
    <cfRule type="colorScale" priority="800">
      <colorScale>
        <cfvo type="min"/>
        <cfvo type="max"/>
        <color rgb="FFFF7128"/>
        <color rgb="FFFFEF9C"/>
      </colorScale>
    </cfRule>
  </conditionalFormatting>
  <conditionalFormatting sqref="D365">
    <cfRule type="colorScale" priority="784">
      <colorScale>
        <cfvo type="min"/>
        <cfvo type="max"/>
        <color rgb="FFFF7128"/>
        <color rgb="FFFFEF9C"/>
      </colorScale>
    </cfRule>
  </conditionalFormatting>
  <conditionalFormatting sqref="D366:D369">
    <cfRule type="colorScale" priority="792">
      <colorScale>
        <cfvo type="min"/>
        <cfvo type="max"/>
        <color rgb="FFFF7128"/>
        <color rgb="FFFFEF9C"/>
      </colorScale>
    </cfRule>
  </conditionalFormatting>
  <conditionalFormatting sqref="D370:D372 D374">
    <cfRule type="colorScale" priority="776">
      <colorScale>
        <cfvo type="min"/>
        <cfvo type="max"/>
        <color rgb="FFFF7128"/>
        <color rgb="FFFFEF9C"/>
      </colorScale>
    </cfRule>
  </conditionalFormatting>
  <conditionalFormatting sqref="D373">
    <cfRule type="colorScale" priority="768">
      <colorScale>
        <cfvo type="min"/>
        <cfvo type="max"/>
        <color rgb="FFFF7128"/>
        <color rgb="FFFFEF9C"/>
      </colorScale>
    </cfRule>
  </conditionalFormatting>
  <conditionalFormatting sqref="D375">
    <cfRule type="colorScale" priority="752">
      <colorScale>
        <cfvo type="min"/>
        <cfvo type="max"/>
        <color rgb="FFFF7128"/>
        <color rgb="FFFFEF9C"/>
      </colorScale>
    </cfRule>
  </conditionalFormatting>
  <conditionalFormatting sqref="D376:D378">
    <cfRule type="colorScale" priority="760">
      <colorScale>
        <cfvo type="min"/>
        <cfvo type="max"/>
        <color rgb="FFFF7128"/>
        <color rgb="FFFFEF9C"/>
      </colorScale>
    </cfRule>
  </conditionalFormatting>
  <conditionalFormatting sqref="D379">
    <cfRule type="colorScale" priority="360">
      <colorScale>
        <cfvo type="min"/>
        <cfvo type="max"/>
        <color rgb="FFFF7128"/>
        <color rgb="FFFFEF9C"/>
      </colorScale>
    </cfRule>
  </conditionalFormatting>
  <conditionalFormatting sqref="D380">
    <cfRule type="colorScale" priority="357">
      <colorScale>
        <cfvo type="min"/>
        <cfvo type="max"/>
        <color rgb="FFFF7128"/>
        <color rgb="FFFFEF9C"/>
      </colorScale>
    </cfRule>
  </conditionalFormatting>
  <conditionalFormatting sqref="D381:D385">
    <cfRule type="colorScale" priority="744">
      <colorScale>
        <cfvo type="min"/>
        <cfvo type="max"/>
        <color rgb="FFFF7128"/>
        <color rgb="FFFFEF9C"/>
      </colorScale>
    </cfRule>
  </conditionalFormatting>
  <conditionalFormatting sqref="D386">
    <cfRule type="colorScale" priority="720">
      <colorScale>
        <cfvo type="min"/>
        <cfvo type="max"/>
        <color rgb="FFFF7128"/>
        <color rgb="FFFFEF9C"/>
      </colorScale>
    </cfRule>
  </conditionalFormatting>
  <conditionalFormatting sqref="D387 D391">
    <cfRule type="colorScale" priority="704">
      <colorScale>
        <cfvo type="min"/>
        <cfvo type="max"/>
        <color rgb="FFFF7128"/>
        <color rgb="FFFFEF9C"/>
      </colorScale>
    </cfRule>
  </conditionalFormatting>
  <conditionalFormatting sqref="D388:D390 D392">
    <cfRule type="colorScale" priority="712">
      <colorScale>
        <cfvo type="min"/>
        <cfvo type="max"/>
        <color rgb="FFFF7128"/>
        <color rgb="FFFFEF9C"/>
      </colorScale>
    </cfRule>
  </conditionalFormatting>
  <conditionalFormatting sqref="D393">
    <cfRule type="colorScale" priority="696">
      <colorScale>
        <cfvo type="min"/>
        <cfvo type="max"/>
        <color rgb="FFFF7128"/>
        <color rgb="FFFFEF9C"/>
      </colorScale>
    </cfRule>
  </conditionalFormatting>
  <conditionalFormatting sqref="D395:D397 D399">
    <cfRule type="colorScale" priority="688">
      <colorScale>
        <cfvo type="min"/>
        <cfvo type="max"/>
        <color rgb="FFFF7128"/>
        <color rgb="FFFFEF9C"/>
      </colorScale>
    </cfRule>
  </conditionalFormatting>
  <conditionalFormatting sqref="D398 D394">
    <cfRule type="colorScale" priority="680">
      <colorScale>
        <cfvo type="min"/>
        <cfvo type="max"/>
        <color rgb="FFFF7128"/>
        <color rgb="FFFFEF9C"/>
      </colorScale>
    </cfRule>
  </conditionalFormatting>
  <conditionalFormatting sqref="D400">
    <cfRule type="colorScale" priority="672">
      <colorScale>
        <cfvo type="min"/>
        <cfvo type="max"/>
        <color rgb="FFFF7128"/>
        <color rgb="FFFFEF9C"/>
      </colorScale>
    </cfRule>
  </conditionalFormatting>
  <conditionalFormatting sqref="D402:D404">
    <cfRule type="colorScale" priority="664">
      <colorScale>
        <cfvo type="min"/>
        <cfvo type="max"/>
        <color rgb="FFFF7128"/>
        <color rgb="FFFFEF9C"/>
      </colorScale>
    </cfRule>
  </conditionalFormatting>
  <conditionalFormatting sqref="D405 D401">
    <cfRule type="colorScale" priority="656">
      <colorScale>
        <cfvo type="min"/>
        <cfvo type="max"/>
        <color rgb="FFFF7128"/>
        <color rgb="FFFFEF9C"/>
      </colorScale>
    </cfRule>
  </conditionalFormatting>
  <conditionalFormatting sqref="D406">
    <cfRule type="colorScale" priority="648">
      <colorScale>
        <cfvo type="min"/>
        <cfvo type="max"/>
        <color rgb="FFFF7128"/>
        <color rgb="FFFFEF9C"/>
      </colorScale>
    </cfRule>
  </conditionalFormatting>
  <conditionalFormatting sqref="D408:D410">
    <cfRule type="colorScale" priority="640">
      <colorScale>
        <cfvo type="min"/>
        <cfvo type="max"/>
        <color rgb="FFFF7128"/>
        <color rgb="FFFFEF9C"/>
      </colorScale>
    </cfRule>
  </conditionalFormatting>
  <conditionalFormatting sqref="D411:D412 D407">
    <cfRule type="colorScale" priority="632">
      <colorScale>
        <cfvo type="min"/>
        <cfvo type="max"/>
        <color rgb="FFFF7128"/>
        <color rgb="FFFFEF9C"/>
      </colorScale>
    </cfRule>
  </conditionalFormatting>
  <conditionalFormatting sqref="D413">
    <cfRule type="colorScale" priority="624">
      <colorScale>
        <cfvo type="min"/>
        <cfvo type="max"/>
        <color rgb="FFFF7128"/>
        <color rgb="FFFFEF9C"/>
      </colorScale>
    </cfRule>
  </conditionalFormatting>
  <conditionalFormatting sqref="D414">
    <cfRule type="colorScale" priority="346">
      <colorScale>
        <cfvo type="min"/>
        <cfvo type="max"/>
        <color rgb="FFFF7128"/>
        <color rgb="FFFFEF9C"/>
      </colorScale>
    </cfRule>
  </conditionalFormatting>
  <conditionalFormatting sqref="D415:D416">
    <cfRule type="colorScale" priority="354">
      <colorScale>
        <cfvo type="min"/>
        <cfvo type="max"/>
        <color rgb="FFFF7128"/>
        <color rgb="FFFFEF9C"/>
      </colorScale>
    </cfRule>
  </conditionalFormatting>
  <conditionalFormatting sqref="D418">
    <cfRule type="colorScale" priority="608">
      <colorScale>
        <cfvo type="min"/>
        <cfvo type="max"/>
        <color rgb="FFFF7128"/>
        <color rgb="FFFFEF9C"/>
      </colorScale>
    </cfRule>
  </conditionalFormatting>
  <conditionalFormatting sqref="D419 D417">
    <cfRule type="colorScale" priority="616">
      <colorScale>
        <cfvo type="min"/>
        <cfvo type="max"/>
        <color rgb="FFFF7128"/>
        <color rgb="FFFFEF9C"/>
      </colorScale>
    </cfRule>
  </conditionalFormatting>
  <conditionalFormatting sqref="D420">
    <cfRule type="colorScale" priority="600">
      <colorScale>
        <cfvo type="min"/>
        <cfvo type="max"/>
        <color rgb="FFFF7128"/>
        <color rgb="FFFFEF9C"/>
      </colorScale>
    </cfRule>
  </conditionalFormatting>
  <conditionalFormatting sqref="D422:D424 D426">
    <cfRule type="colorScale" priority="592">
      <colorScale>
        <cfvo type="min"/>
        <cfvo type="max"/>
        <color rgb="FFFF7128"/>
        <color rgb="FFFFEF9C"/>
      </colorScale>
    </cfRule>
  </conditionalFormatting>
  <conditionalFormatting sqref="D425 D421">
    <cfRule type="colorScale" priority="584">
      <colorScale>
        <cfvo type="min"/>
        <cfvo type="max"/>
        <color rgb="FFFF7128"/>
        <color rgb="FFFFEF9C"/>
      </colorScale>
    </cfRule>
  </conditionalFormatting>
  <conditionalFormatting sqref="D427">
    <cfRule type="colorScale" priority="576">
      <colorScale>
        <cfvo type="min"/>
        <cfvo type="max"/>
        <color rgb="FFFF7128"/>
        <color rgb="FFFFEF9C"/>
      </colorScale>
    </cfRule>
  </conditionalFormatting>
  <conditionalFormatting sqref="D428">
    <cfRule type="colorScale" priority="560">
      <colorScale>
        <cfvo type="min"/>
        <cfvo type="max"/>
        <color rgb="FFFF7128"/>
        <color rgb="FFFFEF9C"/>
      </colorScale>
    </cfRule>
  </conditionalFormatting>
  <conditionalFormatting sqref="D430">
    <cfRule type="colorScale" priority="338">
      <colorScale>
        <cfvo type="min"/>
        <cfvo type="max"/>
        <color rgb="FFFF7128"/>
        <color rgb="FFFFEF9C"/>
      </colorScale>
    </cfRule>
  </conditionalFormatting>
  <conditionalFormatting sqref="D431 D429">
    <cfRule type="colorScale" priority="568">
      <colorScale>
        <cfvo type="min"/>
        <cfvo type="max"/>
        <color rgb="FFFF7128"/>
        <color rgb="FFFFEF9C"/>
      </colorScale>
    </cfRule>
  </conditionalFormatting>
  <conditionalFormatting sqref="D432">
    <cfRule type="colorScale" priority="552">
      <colorScale>
        <cfvo type="min"/>
        <cfvo type="max"/>
        <color rgb="FFFF7128"/>
        <color rgb="FFFFEF9C"/>
      </colorScale>
    </cfRule>
  </conditionalFormatting>
  <conditionalFormatting sqref="D434:D436 D438">
    <cfRule type="colorScale" priority="544">
      <colorScale>
        <cfvo type="min"/>
        <cfvo type="max"/>
        <color rgb="FFFF7128"/>
        <color rgb="FFFFEF9C"/>
      </colorScale>
    </cfRule>
  </conditionalFormatting>
  <conditionalFormatting sqref="D437 D433">
    <cfRule type="colorScale" priority="536">
      <colorScale>
        <cfvo type="min"/>
        <cfvo type="max"/>
        <color rgb="FFFF7128"/>
        <color rgb="FFFFEF9C"/>
      </colorScale>
    </cfRule>
  </conditionalFormatting>
  <conditionalFormatting sqref="D439">
    <cfRule type="colorScale" priority="528">
      <colorScale>
        <cfvo type="min"/>
        <cfvo type="max"/>
        <color rgb="FFFF7128"/>
        <color rgb="FFFFEF9C"/>
      </colorScale>
    </cfRule>
  </conditionalFormatting>
  <conditionalFormatting sqref="D441:D443 D445">
    <cfRule type="colorScale" priority="520">
      <colorScale>
        <cfvo type="min"/>
        <cfvo type="max"/>
        <color rgb="FFFF7128"/>
        <color rgb="FFFFEF9C"/>
      </colorScale>
    </cfRule>
  </conditionalFormatting>
  <conditionalFormatting sqref="D444 D440">
    <cfRule type="colorScale" priority="512">
      <colorScale>
        <cfvo type="min"/>
        <cfvo type="max"/>
        <color rgb="FFFF7128"/>
        <color rgb="FFFFEF9C"/>
      </colorScale>
    </cfRule>
  </conditionalFormatting>
  <conditionalFormatting sqref="D446">
    <cfRule type="colorScale" priority="504">
      <colorScale>
        <cfvo type="min"/>
        <cfvo type="max"/>
        <color rgb="FFFF7128"/>
        <color rgb="FFFFEF9C"/>
      </colorScale>
    </cfRule>
  </conditionalFormatting>
  <conditionalFormatting sqref="D448:D450 D452">
    <cfRule type="colorScale" priority="496">
      <colorScale>
        <cfvo type="min"/>
        <cfvo type="max"/>
        <color rgb="FFFF7128"/>
        <color rgb="FFFFEF9C"/>
      </colorScale>
    </cfRule>
  </conditionalFormatting>
  <conditionalFormatting sqref="D451 D447">
    <cfRule type="colorScale" priority="488">
      <colorScale>
        <cfvo type="min"/>
        <cfvo type="max"/>
        <color rgb="FFFF7128"/>
        <color rgb="FFFFEF9C"/>
      </colorScale>
    </cfRule>
  </conditionalFormatting>
  <conditionalFormatting sqref="D453">
    <cfRule type="colorScale" priority="480">
      <colorScale>
        <cfvo type="min"/>
        <cfvo type="max"/>
        <color rgb="FFFF7128"/>
        <color rgb="FFFFEF9C"/>
      </colorScale>
    </cfRule>
  </conditionalFormatting>
  <conditionalFormatting sqref="D455:D457">
    <cfRule type="colorScale" priority="472">
      <colorScale>
        <cfvo type="min"/>
        <cfvo type="max"/>
        <color rgb="FFFF7128"/>
        <color rgb="FFFFEF9C"/>
      </colorScale>
    </cfRule>
  </conditionalFormatting>
  <conditionalFormatting sqref="D458 D454">
    <cfRule type="colorScale" priority="464">
      <colorScale>
        <cfvo type="min"/>
        <cfvo type="max"/>
        <color rgb="FFFF7128"/>
        <color rgb="FFFFEF9C"/>
      </colorScale>
    </cfRule>
  </conditionalFormatting>
  <conditionalFormatting sqref="D459">
    <cfRule type="colorScale" priority="456">
      <colorScale>
        <cfvo type="min"/>
        <cfvo type="max"/>
        <color rgb="FFFF7128"/>
        <color rgb="FFFFEF9C"/>
      </colorScale>
    </cfRule>
  </conditionalFormatting>
  <conditionalFormatting sqref="D461:D463 D465">
    <cfRule type="colorScale" priority="448">
      <colorScale>
        <cfvo type="min"/>
        <cfvo type="max"/>
        <color rgb="FFFF7128"/>
        <color rgb="FFFFEF9C"/>
      </colorScale>
    </cfRule>
  </conditionalFormatting>
  <conditionalFormatting sqref="D464 D460">
    <cfRule type="colorScale" priority="440">
      <colorScale>
        <cfvo type="min"/>
        <cfvo type="max"/>
        <color rgb="FFFF7128"/>
        <color rgb="FFFFEF9C"/>
      </colorScale>
    </cfRule>
  </conditionalFormatting>
  <conditionalFormatting sqref="D466">
    <cfRule type="colorScale" priority="432">
      <colorScale>
        <cfvo type="min"/>
        <cfvo type="max"/>
        <color rgb="FFFF7128"/>
        <color rgb="FFFFEF9C"/>
      </colorScale>
    </cfRule>
  </conditionalFormatting>
  <conditionalFormatting sqref="D468:D470 D472">
    <cfRule type="colorScale" priority="424">
      <colorScale>
        <cfvo type="min"/>
        <cfvo type="max"/>
        <color rgb="FFFF7128"/>
        <color rgb="FFFFEF9C"/>
      </colorScale>
    </cfRule>
  </conditionalFormatting>
  <conditionalFormatting sqref="D471 D467">
    <cfRule type="colorScale" priority="416">
      <colorScale>
        <cfvo type="min"/>
        <cfvo type="max"/>
        <color rgb="FFFF7128"/>
        <color rgb="FFFFEF9C"/>
      </colorScale>
    </cfRule>
  </conditionalFormatting>
  <conditionalFormatting sqref="D473">
    <cfRule type="colorScale" priority="408">
      <colorScale>
        <cfvo type="min"/>
        <cfvo type="max"/>
        <color rgb="FFFF7128"/>
        <color rgb="FFFFEF9C"/>
      </colorScale>
    </cfRule>
  </conditionalFormatting>
  <conditionalFormatting sqref="D474 D478">
    <cfRule type="colorScale" priority="392">
      <colorScale>
        <cfvo type="min"/>
        <cfvo type="max"/>
        <color rgb="FFFF7128"/>
        <color rgb="FFFFEF9C"/>
      </colorScale>
    </cfRule>
  </conditionalFormatting>
  <conditionalFormatting sqref="D475:D477 D479">
    <cfRule type="colorScale" priority="400">
      <colorScale>
        <cfvo type="min"/>
        <cfvo type="max"/>
        <color rgb="FFFF7128"/>
        <color rgb="FFFFEF9C"/>
      </colorScale>
    </cfRule>
  </conditionalFormatting>
  <conditionalFormatting sqref="D480">
    <cfRule type="colorScale" priority="384">
      <colorScale>
        <cfvo type="min"/>
        <cfvo type="max"/>
        <color rgb="FFFF7128"/>
        <color rgb="FFFFEF9C"/>
      </colorScale>
    </cfRule>
  </conditionalFormatting>
  <conditionalFormatting sqref="D481">
    <cfRule type="colorScale" priority="368">
      <colorScale>
        <cfvo type="min"/>
        <cfvo type="max"/>
        <color rgb="FFFF7128"/>
        <color rgb="FFFFEF9C"/>
      </colorScale>
    </cfRule>
  </conditionalFormatting>
  <conditionalFormatting sqref="D482:D484">
    <cfRule type="colorScale" priority="376">
      <colorScale>
        <cfvo type="min"/>
        <cfvo type="max"/>
        <color rgb="FFFF7128"/>
        <color rgb="FFFFEF9C"/>
      </colorScale>
    </cfRule>
  </conditionalFormatting>
  <conditionalFormatting sqref="D485">
    <cfRule type="colorScale" priority="335">
      <colorScale>
        <cfvo type="min"/>
        <cfvo type="max"/>
        <color rgb="FFFF7128"/>
        <color rgb="FFFFEF9C"/>
      </colorScale>
    </cfRule>
  </conditionalFormatting>
  <conditionalFormatting sqref="D486">
    <cfRule type="colorScale" priority="319">
      <colorScale>
        <cfvo type="min"/>
        <cfvo type="max"/>
        <color rgb="FFFF7128"/>
        <color rgb="FFFFEF9C"/>
      </colorScale>
    </cfRule>
  </conditionalFormatting>
  <conditionalFormatting sqref="D487:D488 D542:D1423">
    <cfRule type="colorScale" priority="1426">
      <colorScale>
        <cfvo type="min"/>
        <cfvo type="max"/>
        <color rgb="FFFF7128"/>
        <color rgb="FFFFEF9C"/>
      </colorScale>
    </cfRule>
  </conditionalFormatting>
  <conditionalFormatting sqref="D489">
    <cfRule type="colorScale" priority="311">
      <colorScale>
        <cfvo type="min"/>
        <cfvo type="max"/>
        <color rgb="FFFF7128"/>
        <color rgb="FFFFEF9C"/>
      </colorScale>
    </cfRule>
  </conditionalFormatting>
  <conditionalFormatting sqref="D490">
    <cfRule type="colorScale" priority="295">
      <colorScale>
        <cfvo type="min"/>
        <cfvo type="max"/>
        <color rgb="FFFF7128"/>
        <color rgb="FFFFEF9C"/>
      </colorScale>
    </cfRule>
  </conditionalFormatting>
  <conditionalFormatting sqref="D491:D493">
    <cfRule type="colorScale" priority="303">
      <colorScale>
        <cfvo type="min"/>
        <cfvo type="max"/>
        <color rgb="FFFF7128"/>
        <color rgb="FFFFEF9C"/>
      </colorScale>
    </cfRule>
  </conditionalFormatting>
  <conditionalFormatting sqref="D494">
    <cfRule type="colorScale" priority="287">
      <colorScale>
        <cfvo type="min"/>
        <cfvo type="max"/>
        <color rgb="FFFF7128"/>
        <color rgb="FFFFEF9C"/>
      </colorScale>
    </cfRule>
  </conditionalFormatting>
  <conditionalFormatting sqref="D495">
    <cfRule type="colorScale" priority="271">
      <colorScale>
        <cfvo type="min"/>
        <cfvo type="max"/>
        <color rgb="FFFF7128"/>
        <color rgb="FFFFEF9C"/>
      </colorScale>
    </cfRule>
  </conditionalFormatting>
  <conditionalFormatting sqref="D497">
    <cfRule type="colorScale" priority="263">
      <colorScale>
        <cfvo type="min"/>
        <cfvo type="max"/>
        <color rgb="FFFF7128"/>
        <color rgb="FFFFEF9C"/>
      </colorScale>
    </cfRule>
  </conditionalFormatting>
  <conditionalFormatting sqref="D498">
    <cfRule type="colorScale" priority="247">
      <colorScale>
        <cfvo type="min"/>
        <cfvo type="max"/>
        <color rgb="FFFF7128"/>
        <color rgb="FFFFEF9C"/>
      </colorScale>
    </cfRule>
  </conditionalFormatting>
  <conditionalFormatting sqref="D499:D501">
    <cfRule type="colorScale" priority="255">
      <colorScale>
        <cfvo type="min"/>
        <cfvo type="max"/>
        <color rgb="FFFF7128"/>
        <color rgb="FFFFEF9C"/>
      </colorScale>
    </cfRule>
  </conditionalFormatting>
  <conditionalFormatting sqref="D502">
    <cfRule type="colorScale" priority="239">
      <colorScale>
        <cfvo type="min"/>
        <cfvo type="max"/>
        <color rgb="FFFF7128"/>
        <color rgb="FFFFEF9C"/>
      </colorScale>
    </cfRule>
  </conditionalFormatting>
  <conditionalFormatting sqref="D503">
    <cfRule type="colorScale" priority="223">
      <colorScale>
        <cfvo type="min"/>
        <cfvo type="max"/>
        <color rgb="FFFF7128"/>
        <color rgb="FFFFEF9C"/>
      </colorScale>
    </cfRule>
  </conditionalFormatting>
  <conditionalFormatting sqref="D504:D505">
    <cfRule type="colorScale" priority="231">
      <colorScale>
        <cfvo type="min"/>
        <cfvo type="max"/>
        <color rgb="FFFF7128"/>
        <color rgb="FFFFEF9C"/>
      </colorScale>
    </cfRule>
  </conditionalFormatting>
  <conditionalFormatting sqref="D506">
    <cfRule type="colorScale" priority="215">
      <colorScale>
        <cfvo type="min"/>
        <cfvo type="max"/>
        <color rgb="FFFF7128"/>
        <color rgb="FFFFEF9C"/>
      </colorScale>
    </cfRule>
  </conditionalFormatting>
  <conditionalFormatting sqref="D507">
    <cfRule type="colorScale" priority="199">
      <colorScale>
        <cfvo type="min"/>
        <cfvo type="max"/>
        <color rgb="FFFF7128"/>
        <color rgb="FFFFEF9C"/>
      </colorScale>
    </cfRule>
  </conditionalFormatting>
  <conditionalFormatting sqref="D508:D510">
    <cfRule type="colorScale" priority="207">
      <colorScale>
        <cfvo type="min"/>
        <cfvo type="max"/>
        <color rgb="FFFF7128"/>
        <color rgb="FFFFEF9C"/>
      </colorScale>
    </cfRule>
  </conditionalFormatting>
  <conditionalFormatting sqref="D511">
    <cfRule type="colorScale" priority="191">
      <colorScale>
        <cfvo type="min"/>
        <cfvo type="max"/>
        <color rgb="FFFF7128"/>
        <color rgb="FFFFEF9C"/>
      </colorScale>
    </cfRule>
  </conditionalFormatting>
  <conditionalFormatting sqref="D512">
    <cfRule type="colorScale" priority="175">
      <colorScale>
        <cfvo type="min"/>
        <cfvo type="max"/>
        <color rgb="FFFF7128"/>
        <color rgb="FFFFEF9C"/>
      </colorScale>
    </cfRule>
  </conditionalFormatting>
  <conditionalFormatting sqref="D513">
    <cfRule type="colorScale" priority="183">
      <colorScale>
        <cfvo type="min"/>
        <cfvo type="max"/>
        <color rgb="FFFF7128"/>
        <color rgb="FFFFEF9C"/>
      </colorScale>
    </cfRule>
  </conditionalFormatting>
  <conditionalFormatting sqref="D514 D496">
    <cfRule type="colorScale" priority="279">
      <colorScale>
        <cfvo type="min"/>
        <cfvo type="max"/>
        <color rgb="FFFF7128"/>
        <color rgb="FFFFEF9C"/>
      </colorScale>
    </cfRule>
  </conditionalFormatting>
  <conditionalFormatting sqref="D515">
    <cfRule type="colorScale" priority="167">
      <colorScale>
        <cfvo type="min"/>
        <cfvo type="max"/>
        <color rgb="FFFF7128"/>
        <color rgb="FFFFEF9C"/>
      </colorScale>
    </cfRule>
  </conditionalFormatting>
  <conditionalFormatting sqref="D516">
    <cfRule type="colorScale" priority="159">
      <colorScale>
        <cfvo type="min"/>
        <cfvo type="max"/>
        <color rgb="FFFF7128"/>
        <color rgb="FFFFEF9C"/>
      </colorScale>
    </cfRule>
  </conditionalFormatting>
  <conditionalFormatting sqref="D517">
    <cfRule type="colorScale" priority="143">
      <colorScale>
        <cfvo type="min"/>
        <cfvo type="max"/>
        <color rgb="FFFF7128"/>
        <color rgb="FFFFEF9C"/>
      </colorScale>
    </cfRule>
  </conditionalFormatting>
  <conditionalFormatting sqref="D518:D520">
    <cfRule type="colorScale" priority="151">
      <colorScale>
        <cfvo type="min"/>
        <cfvo type="max"/>
        <color rgb="FFFF7128"/>
        <color rgb="FFFFEF9C"/>
      </colorScale>
    </cfRule>
  </conditionalFormatting>
  <conditionalFormatting sqref="D521">
    <cfRule type="colorScale" priority="135">
      <colorScale>
        <cfvo type="min"/>
        <cfvo type="max"/>
        <color rgb="FFFF7128"/>
        <color rgb="FFFFEF9C"/>
      </colorScale>
    </cfRule>
  </conditionalFormatting>
  <conditionalFormatting sqref="D522">
    <cfRule type="colorScale" priority="119">
      <colorScale>
        <cfvo type="min"/>
        <cfvo type="max"/>
        <color rgb="FFFF7128"/>
        <color rgb="FFFFEF9C"/>
      </colorScale>
    </cfRule>
  </conditionalFormatting>
  <conditionalFormatting sqref="D524">
    <cfRule type="colorScale" priority="111">
      <colorScale>
        <cfvo type="min"/>
        <cfvo type="max"/>
        <color rgb="FFFF7128"/>
        <color rgb="FFFFEF9C"/>
      </colorScale>
    </cfRule>
  </conditionalFormatting>
  <conditionalFormatting sqref="D525">
    <cfRule type="colorScale" priority="95">
      <colorScale>
        <cfvo type="min"/>
        <cfvo type="max"/>
        <color rgb="FFFF7128"/>
        <color rgb="FFFFEF9C"/>
      </colorScale>
    </cfRule>
  </conditionalFormatting>
  <conditionalFormatting sqref="D526:D528">
    <cfRule type="colorScale" priority="103">
      <colorScale>
        <cfvo type="min"/>
        <cfvo type="max"/>
        <color rgb="FFFF7128"/>
        <color rgb="FFFFEF9C"/>
      </colorScale>
    </cfRule>
  </conditionalFormatting>
  <conditionalFormatting sqref="D529">
    <cfRule type="colorScale" priority="87">
      <colorScale>
        <cfvo type="min"/>
        <cfvo type="max"/>
        <color rgb="FFFF7128"/>
        <color rgb="FFFFEF9C"/>
      </colorScale>
    </cfRule>
  </conditionalFormatting>
  <conditionalFormatting sqref="D530">
    <cfRule type="colorScale" priority="71">
      <colorScale>
        <cfvo type="min"/>
        <cfvo type="max"/>
        <color rgb="FFFF7128"/>
        <color rgb="FFFFEF9C"/>
      </colorScale>
    </cfRule>
  </conditionalFormatting>
  <conditionalFormatting sqref="D531:D533">
    <cfRule type="colorScale" priority="79">
      <colorScale>
        <cfvo type="min"/>
        <cfvo type="max"/>
        <color rgb="FFFF7128"/>
        <color rgb="FFFFEF9C"/>
      </colorScale>
    </cfRule>
  </conditionalFormatting>
  <conditionalFormatting sqref="D534">
    <cfRule type="colorScale" priority="47">
      <colorScale>
        <cfvo type="min"/>
        <cfvo type="max"/>
        <color rgb="FFFF7128"/>
        <color rgb="FFFFEF9C"/>
      </colorScale>
    </cfRule>
  </conditionalFormatting>
  <conditionalFormatting sqref="D535:D537">
    <cfRule type="colorScale" priority="55">
      <colorScale>
        <cfvo type="min"/>
        <cfvo type="max"/>
        <color rgb="FFFF7128"/>
        <color rgb="FFFFEF9C"/>
      </colorScale>
    </cfRule>
  </conditionalFormatting>
  <conditionalFormatting sqref="D538">
    <cfRule type="colorScale" priority="39">
      <colorScale>
        <cfvo type="min"/>
        <cfvo type="max"/>
        <color rgb="FFFF7128"/>
        <color rgb="FFFFEF9C"/>
      </colorScale>
    </cfRule>
  </conditionalFormatting>
  <conditionalFormatting sqref="D539">
    <cfRule type="colorScale" priority="23">
      <colorScale>
        <cfvo type="min"/>
        <cfvo type="max"/>
        <color rgb="FFFF7128"/>
        <color rgb="FFFFEF9C"/>
      </colorScale>
    </cfRule>
  </conditionalFormatting>
  <conditionalFormatting sqref="D540">
    <cfRule type="colorScale" priority="31">
      <colorScale>
        <cfvo type="min"/>
        <cfvo type="max"/>
        <color rgb="FFFF7128"/>
        <color rgb="FFFFEF9C"/>
      </colorScale>
    </cfRule>
  </conditionalFormatting>
  <conditionalFormatting sqref="D541 D523">
    <cfRule type="colorScale" priority="127">
      <colorScale>
        <cfvo type="min"/>
        <cfvo type="max"/>
        <color rgb="FFFF7128"/>
        <color rgb="FFFFEF9C"/>
      </colorScale>
    </cfRule>
  </conditionalFormatting>
  <conditionalFormatting sqref="F3:F164 F665:F700 F702:F777 F780:F876">
    <cfRule type="containsBlanks" priority="962" stopIfTrue="1">
      <formula>LEN(TRIM(F3))=0</formula>
    </cfRule>
    <cfRule type="cellIs" dxfId="20" priority="963" operator="lessThan">
      <formula>$Q$1</formula>
    </cfRule>
    <cfRule type="timePeriod" dxfId="19" priority="964" timePeriod="thisWeek">
      <formula>AND(TODAY()-ROUNDDOWN(F3,0)&lt;=WEEKDAY(TODAY())-1,ROUNDDOWN(F3,0)-TODAY()&lt;=7-WEEKDAY(TODAY()))</formula>
    </cfRule>
    <cfRule type="timePeriod" dxfId="18" priority="965" timePeriod="nextWeek">
      <formula>AND(ROUNDDOWN(F3,0)-TODAY()&gt;(7-WEEKDAY(TODAY())),ROUNDDOWN(F3,0)-TODAY()&lt;(15-WEEKDAY(TODAY())))</formula>
    </cfRule>
    <cfRule type="expression" priority="961" stopIfTrue="1">
      <formula>Q3="yes"</formula>
    </cfRule>
  </conditionalFormatting>
  <conditionalFormatting sqref="F166:F405">
    <cfRule type="cellIs" dxfId="17" priority="651" operator="lessThan">
      <formula>$Q$1</formula>
    </cfRule>
    <cfRule type="timePeriod" dxfId="16" priority="653" timePeriod="nextWeek">
      <formula>AND(ROUNDDOWN(F166,0)-TODAY()&gt;(7-WEEKDAY(TODAY())),ROUNDDOWN(F166,0)-TODAY()&lt;(15-WEEKDAY(TODAY())))</formula>
    </cfRule>
    <cfRule type="timePeriod" dxfId="15" priority="652" timePeriod="thisWeek">
      <formula>AND(TODAY()-ROUNDDOWN(F166,0)&lt;=WEEKDAY(TODAY())-1,ROUNDDOWN(F166,0)-TODAY()&lt;=7-WEEKDAY(TODAY()))</formula>
    </cfRule>
    <cfRule type="expression" priority="649" stopIfTrue="1">
      <formula>Q166="yes"</formula>
    </cfRule>
    <cfRule type="containsBlanks" priority="650" stopIfTrue="1">
      <formula>LEN(TRIM(F166))=0</formula>
    </cfRule>
  </conditionalFormatting>
  <conditionalFormatting sqref="F407:F411">
    <cfRule type="expression" priority="625" stopIfTrue="1">
      <formula>Q407="yes"</formula>
    </cfRule>
    <cfRule type="containsBlanks" priority="626" stopIfTrue="1">
      <formula>LEN(TRIM(F407))=0</formula>
    </cfRule>
    <cfRule type="cellIs" dxfId="14" priority="627" operator="lessThan">
      <formula>$Q$1</formula>
    </cfRule>
    <cfRule type="timePeriod" dxfId="13" priority="628" timePeriod="thisWeek">
      <formula>AND(TODAY()-ROUNDDOWN(F407,0)&lt;=WEEKDAY(TODAY())-1,ROUNDDOWN(F407,0)-TODAY()&lt;=7-WEEKDAY(TODAY()))</formula>
    </cfRule>
    <cfRule type="timePeriod" dxfId="12" priority="629" timePeriod="nextWeek">
      <formula>AND(ROUNDDOWN(F407,0)-TODAY()&gt;(7-WEEKDAY(TODAY())),ROUNDDOWN(F407,0)-TODAY()&lt;(15-WEEKDAY(TODAY())))</formula>
    </cfRule>
  </conditionalFormatting>
  <conditionalFormatting sqref="F413:F542">
    <cfRule type="cellIs" dxfId="11" priority="18" operator="lessThan">
      <formula>$Q$1</formula>
    </cfRule>
    <cfRule type="timePeriod" dxfId="10" priority="20" timePeriod="nextWeek">
      <formula>AND(ROUNDDOWN(F413,0)-TODAY()&gt;(7-WEEKDAY(TODAY())),ROUNDDOWN(F413,0)-TODAY()&lt;(15-WEEKDAY(TODAY())))</formula>
    </cfRule>
    <cfRule type="containsBlanks" priority="17" stopIfTrue="1">
      <formula>LEN(TRIM(F413))=0</formula>
    </cfRule>
    <cfRule type="timePeriod" dxfId="9" priority="19" timePeriod="thisWeek">
      <formula>AND(TODAY()-ROUNDDOWN(F413,0)&lt;=WEEKDAY(TODAY())-1,ROUNDDOWN(F413,0)-TODAY()&lt;=7-WEEKDAY(TODAY()))</formula>
    </cfRule>
    <cfRule type="expression" priority="16" stopIfTrue="1">
      <formula>Q413="yes"</formula>
    </cfRule>
  </conditionalFormatting>
  <conditionalFormatting sqref="F544:F663">
    <cfRule type="containsBlanks" priority="1350" stopIfTrue="1">
      <formula>LEN(TRIM(F544))=0</formula>
    </cfRule>
    <cfRule type="cellIs" dxfId="8" priority="1362" operator="lessThan">
      <formula>$Q$1</formula>
    </cfRule>
    <cfRule type="timePeriod" dxfId="7" priority="1363" timePeriod="thisWeek">
      <formula>AND(TODAY()-ROUNDDOWN(F544,0)&lt;=WEEKDAY(TODAY())-1,ROUNDDOWN(F544,0)-TODAY()&lt;=7-WEEKDAY(TODAY()))</formula>
    </cfRule>
    <cfRule type="timePeriod" dxfId="6" priority="1365" timePeriod="nextWeek">
      <formula>AND(ROUNDDOWN(F544,0)-TODAY()&gt;(7-WEEKDAY(TODAY())),ROUNDDOWN(F544,0)-TODAY()&lt;(15-WEEKDAY(TODAY())))</formula>
    </cfRule>
    <cfRule type="expression" priority="1349" stopIfTrue="1">
      <formula>Q544="yes"</formula>
    </cfRule>
  </conditionalFormatting>
  <conditionalFormatting sqref="F877">
    <cfRule type="expression" priority="1407" stopIfTrue="1">
      <formula>#REF!="yes"</formula>
    </cfRule>
    <cfRule type="containsBlanks" priority="1408" stopIfTrue="1">
      <formula>LEN(TRIM(F877))=0</formula>
    </cfRule>
    <cfRule type="cellIs" dxfId="5" priority="1409" operator="lessThan">
      <formula>$Q$1</formula>
    </cfRule>
    <cfRule type="timePeriod" dxfId="4" priority="1410" timePeriod="thisWeek">
      <formula>AND(TODAY()-ROUNDDOWN(F877,0)&lt;=WEEKDAY(TODAY())-1,ROUNDDOWN(F877,0)-TODAY()&lt;=7-WEEKDAY(TODAY()))</formula>
    </cfRule>
    <cfRule type="timePeriod" dxfId="3" priority="1411" timePeriod="nextWeek">
      <formula>AND(ROUNDDOWN(F877,0)-TODAY()&gt;(7-WEEKDAY(TODAY())),ROUNDDOWN(F877,0)-TODAY()&lt;(15-WEEKDAY(TODAY())))</formula>
    </cfRule>
  </conditionalFormatting>
  <conditionalFormatting sqref="F878">
    <cfRule type="expression" priority="11" stopIfTrue="1">
      <formula>Q878="yes"</formula>
    </cfRule>
  </conditionalFormatting>
  <conditionalFormatting sqref="F878:F1423">
    <cfRule type="timePeriod" dxfId="2" priority="14" timePeriod="thisWeek">
      <formula>AND(TODAY()-ROUNDDOWN(F878,0)&lt;=WEEKDAY(TODAY())-1,ROUNDDOWN(F878,0)-TODAY()&lt;=7-WEEKDAY(TODAY()))</formula>
    </cfRule>
    <cfRule type="cellIs" dxfId="1" priority="13" operator="lessThan">
      <formula>$Q$1</formula>
    </cfRule>
    <cfRule type="containsBlanks" priority="12" stopIfTrue="1">
      <formula>LEN(TRIM(F878))=0</formula>
    </cfRule>
    <cfRule type="timePeriod" dxfId="0" priority="15" timePeriod="nextWeek">
      <formula>AND(ROUNDDOWN(F878,0)-TODAY()&gt;(7-WEEKDAY(TODAY())),ROUNDDOWN(F878,0)-TODAY()&lt;(15-WEEKDAY(TODAY())))</formula>
    </cfRule>
  </conditionalFormatting>
  <conditionalFormatting sqref="F879:F1423">
    <cfRule type="expression" priority="1" stopIfTrue="1">
      <formula>#REF!="yes"</formula>
    </cfRule>
  </conditionalFormatting>
  <dataValidations count="4">
    <dataValidation type="list" allowBlank="1" showInputMessage="1" showErrorMessage="1" sqref="Q3:Q256 O113:O883" xr:uid="{00000000-0002-0000-0000-000000000000}">
      <formula1>"Yes"</formula1>
    </dataValidation>
    <dataValidation type="list" allowBlank="1" showInputMessage="1" showErrorMessage="1" sqref="D3:D256" xr:uid="{00000000-0002-0000-0000-000001000000}">
      <formula1>"Quality Alert, Change Alert"</formula1>
    </dataValidation>
    <dataValidation type="list" allowBlank="1" showInputMessage="1" showErrorMessage="1" sqref="B3:C256" xr:uid="{00000000-0002-0000-0000-000002000000}">
      <formula1>"Cambridge, Stratford, Woodstock"</formula1>
    </dataValidation>
    <dataValidation showInputMessage="1" showErrorMessage="1" sqref="P961:P962 L961:L962 L964:L965 P964:P967 L967 P974" xr:uid="{16AE761E-095A-44EC-A7D0-36F35035CDBD}"/>
  </dataValidations>
  <hyperlinks>
    <hyperlink ref="A3" r:id="rId1" xr:uid="{00000000-0004-0000-0000-000000000000}"/>
    <hyperlink ref="A4" r:id="rId2" xr:uid="{00000000-0004-0000-0000-000001000000}"/>
    <hyperlink ref="A5" r:id="rId3" xr:uid="{00000000-0004-0000-0000-000002000000}"/>
    <hyperlink ref="A7" r:id="rId4" xr:uid="{00000000-0004-0000-0000-000003000000}"/>
    <hyperlink ref="A8" r:id="rId5" xr:uid="{00000000-0004-0000-0000-000004000000}"/>
    <hyperlink ref="A9" r:id="rId6" xr:uid="{00000000-0004-0000-0000-000005000000}"/>
    <hyperlink ref="A10" r:id="rId7" xr:uid="{00000000-0004-0000-0000-000006000000}"/>
    <hyperlink ref="A11" r:id="rId8" xr:uid="{00000000-0004-0000-0000-000007000000}"/>
    <hyperlink ref="A12" r:id="rId9" xr:uid="{00000000-0004-0000-0000-000008000000}"/>
    <hyperlink ref="A13" r:id="rId10" xr:uid="{00000000-0004-0000-0000-000009000000}"/>
    <hyperlink ref="A14" r:id="rId11" xr:uid="{00000000-0004-0000-0000-00000A000000}"/>
    <hyperlink ref="A15" r:id="rId12" xr:uid="{00000000-0004-0000-0000-00000B000000}"/>
    <hyperlink ref="A16" r:id="rId13" xr:uid="{00000000-0004-0000-0000-00000C000000}"/>
    <hyperlink ref="A17" r:id="rId14" xr:uid="{00000000-0004-0000-0000-00000D000000}"/>
    <hyperlink ref="A18" r:id="rId15" xr:uid="{00000000-0004-0000-0000-00000E000000}"/>
    <hyperlink ref="A6" r:id="rId16" xr:uid="{00000000-0004-0000-0000-00000F000000}"/>
    <hyperlink ref="A19" r:id="rId17" xr:uid="{00000000-0004-0000-0000-000010000000}"/>
    <hyperlink ref="A20" r:id="rId18" xr:uid="{00000000-0004-0000-0000-000011000000}"/>
    <hyperlink ref="A22" r:id="rId19" xr:uid="{00000000-0004-0000-0000-000012000000}"/>
    <hyperlink ref="A21" r:id="rId20" xr:uid="{00000000-0004-0000-0000-000013000000}"/>
    <hyperlink ref="A23" r:id="rId21" xr:uid="{00000000-0004-0000-0000-000014000000}"/>
    <hyperlink ref="A24" r:id="rId22" xr:uid="{00000000-0004-0000-0000-000015000000}"/>
    <hyperlink ref="A25" r:id="rId23" xr:uid="{00000000-0004-0000-0000-000016000000}"/>
    <hyperlink ref="A28" r:id="rId24" xr:uid="{00000000-0004-0000-0000-000017000000}"/>
    <hyperlink ref="A29" r:id="rId25" xr:uid="{00000000-0004-0000-0000-000018000000}"/>
    <hyperlink ref="A31" r:id="rId26" xr:uid="{00000000-0004-0000-0000-000019000000}"/>
    <hyperlink ref="A33" r:id="rId27" xr:uid="{00000000-0004-0000-0000-00001A000000}"/>
    <hyperlink ref="A34" r:id="rId28" xr:uid="{00000000-0004-0000-0000-00001B000000}"/>
    <hyperlink ref="A35" r:id="rId29" xr:uid="{00000000-0004-0000-0000-00001C000000}"/>
    <hyperlink ref="A36" r:id="rId30" xr:uid="{00000000-0004-0000-0000-00001D000000}"/>
    <hyperlink ref="A37" r:id="rId31" xr:uid="{00000000-0004-0000-0000-00001E000000}"/>
    <hyperlink ref="A38" r:id="rId32" xr:uid="{00000000-0004-0000-0000-00001F000000}"/>
    <hyperlink ref="A39" r:id="rId33" xr:uid="{00000000-0004-0000-0000-000020000000}"/>
    <hyperlink ref="A41" r:id="rId34" xr:uid="{00000000-0004-0000-0000-000021000000}"/>
    <hyperlink ref="A43" r:id="rId35" xr:uid="{00000000-0004-0000-0000-000022000000}"/>
    <hyperlink ref="A44" r:id="rId36" xr:uid="{00000000-0004-0000-0000-000023000000}"/>
    <hyperlink ref="A45" r:id="rId37" xr:uid="{00000000-0004-0000-0000-000024000000}"/>
    <hyperlink ref="A46" r:id="rId38" xr:uid="{00000000-0004-0000-0000-000025000000}"/>
    <hyperlink ref="A47" r:id="rId39" xr:uid="{00000000-0004-0000-0000-000026000000}"/>
    <hyperlink ref="A48" r:id="rId40" xr:uid="{00000000-0004-0000-0000-000027000000}"/>
    <hyperlink ref="A49" r:id="rId41" xr:uid="{00000000-0004-0000-0000-000028000000}"/>
    <hyperlink ref="A50" r:id="rId42" xr:uid="{00000000-0004-0000-0000-000029000000}"/>
    <hyperlink ref="A51" r:id="rId43" xr:uid="{00000000-0004-0000-0000-00002A000000}"/>
    <hyperlink ref="A52" r:id="rId44" xr:uid="{00000000-0004-0000-0000-00002B000000}"/>
    <hyperlink ref="A53" r:id="rId45" xr:uid="{00000000-0004-0000-0000-00002C000000}"/>
    <hyperlink ref="A55" r:id="rId46" xr:uid="{00000000-0004-0000-0000-00002D000000}"/>
    <hyperlink ref="A56" r:id="rId47" xr:uid="{00000000-0004-0000-0000-00002E000000}"/>
    <hyperlink ref="A57" r:id="rId48" xr:uid="{00000000-0004-0000-0000-00002F000000}"/>
    <hyperlink ref="A58" r:id="rId49" xr:uid="{00000000-0004-0000-0000-000030000000}"/>
    <hyperlink ref="A59" r:id="rId50" xr:uid="{00000000-0004-0000-0000-000031000000}"/>
    <hyperlink ref="A60" r:id="rId51" xr:uid="{00000000-0004-0000-0000-000032000000}"/>
    <hyperlink ref="A61" r:id="rId52" xr:uid="{00000000-0004-0000-0000-000033000000}"/>
    <hyperlink ref="A62" r:id="rId53" xr:uid="{00000000-0004-0000-0000-000034000000}"/>
    <hyperlink ref="A63" r:id="rId54" xr:uid="{00000000-0004-0000-0000-000035000000}"/>
    <hyperlink ref="A64" r:id="rId55" xr:uid="{00000000-0004-0000-0000-000036000000}"/>
    <hyperlink ref="A65" r:id="rId56" xr:uid="{00000000-0004-0000-0000-000037000000}"/>
    <hyperlink ref="A66" r:id="rId57" xr:uid="{00000000-0004-0000-0000-000038000000}"/>
    <hyperlink ref="A67" r:id="rId58" xr:uid="{00000000-0004-0000-0000-000039000000}"/>
    <hyperlink ref="A68" r:id="rId59" xr:uid="{00000000-0004-0000-0000-00003A000000}"/>
    <hyperlink ref="A69" r:id="rId60" xr:uid="{00000000-0004-0000-0000-00003B000000}"/>
    <hyperlink ref="A70" r:id="rId61" xr:uid="{00000000-0004-0000-0000-00003C000000}"/>
    <hyperlink ref="A71" r:id="rId62" xr:uid="{00000000-0004-0000-0000-00003D000000}"/>
    <hyperlink ref="A72" r:id="rId63" xr:uid="{00000000-0004-0000-0000-00003E000000}"/>
    <hyperlink ref="A73" r:id="rId64" xr:uid="{00000000-0004-0000-0000-00003F000000}"/>
    <hyperlink ref="A74" r:id="rId65" xr:uid="{00000000-0004-0000-0000-000040000000}"/>
    <hyperlink ref="A75" r:id="rId66" xr:uid="{00000000-0004-0000-0000-000041000000}"/>
    <hyperlink ref="A76" r:id="rId67" xr:uid="{00000000-0004-0000-0000-000042000000}"/>
    <hyperlink ref="A77" r:id="rId68" xr:uid="{00000000-0004-0000-0000-000043000000}"/>
    <hyperlink ref="A78" r:id="rId69" xr:uid="{00000000-0004-0000-0000-000044000000}"/>
    <hyperlink ref="A79" r:id="rId70" xr:uid="{00000000-0004-0000-0000-000045000000}"/>
    <hyperlink ref="A81" r:id="rId71" xr:uid="{00000000-0004-0000-0000-000046000000}"/>
    <hyperlink ref="A80" r:id="rId72" xr:uid="{00000000-0004-0000-0000-000047000000}"/>
    <hyperlink ref="A82" r:id="rId73" xr:uid="{00000000-0004-0000-0000-000048000000}"/>
    <hyperlink ref="A84" r:id="rId74" xr:uid="{00000000-0004-0000-0000-000049000000}"/>
    <hyperlink ref="A85" r:id="rId75" xr:uid="{00000000-0004-0000-0000-00004A000000}"/>
    <hyperlink ref="A86" r:id="rId76" xr:uid="{00000000-0004-0000-0000-00004B000000}"/>
    <hyperlink ref="A87" r:id="rId77" xr:uid="{00000000-0004-0000-0000-00004C000000}"/>
    <hyperlink ref="G1" r:id="rId78" display="\\stratfs1.clemmertech.net\public\QCI Division\Quality Documentation-QCI\Alert System\Alerts\2025" xr:uid="{00000000-0004-0000-0000-00004D000000}"/>
    <hyperlink ref="A88" r:id="rId79" xr:uid="{00000000-0004-0000-0000-00004E000000}"/>
    <hyperlink ref="A89" r:id="rId80" xr:uid="{00000000-0004-0000-0000-00004F000000}"/>
    <hyperlink ref="A90" r:id="rId81" xr:uid="{00000000-0004-0000-0000-000050000000}"/>
    <hyperlink ref="A91" r:id="rId82" xr:uid="{00000000-0004-0000-0000-000051000000}"/>
    <hyperlink ref="A92" r:id="rId83" xr:uid="{00000000-0004-0000-0000-000052000000}"/>
    <hyperlink ref="A93" r:id="rId84" xr:uid="{00000000-0004-0000-0000-000053000000}"/>
    <hyperlink ref="A94" r:id="rId85" xr:uid="{00000000-0004-0000-0000-000054000000}"/>
    <hyperlink ref="A95" r:id="rId86" xr:uid="{00000000-0004-0000-0000-000055000000}"/>
    <hyperlink ref="A96" r:id="rId87" xr:uid="{00000000-0004-0000-0000-000056000000}"/>
    <hyperlink ref="A97" r:id="rId88" xr:uid="{00000000-0004-0000-0000-000057000000}"/>
    <hyperlink ref="A98" r:id="rId89" xr:uid="{00000000-0004-0000-0000-000058000000}"/>
    <hyperlink ref="A99" r:id="rId90" xr:uid="{00000000-0004-0000-0000-000059000000}"/>
    <hyperlink ref="A100" r:id="rId91" xr:uid="{00000000-0004-0000-0000-00005A000000}"/>
    <hyperlink ref="A101" r:id="rId92" xr:uid="{00000000-0004-0000-0000-00005B000000}"/>
    <hyperlink ref="A103" r:id="rId93" xr:uid="{00000000-0004-0000-0000-00005C000000}"/>
    <hyperlink ref="A104" r:id="rId94" xr:uid="{00000000-0004-0000-0000-00005D000000}"/>
    <hyperlink ref="A105" r:id="rId95" xr:uid="{00000000-0004-0000-0000-00005E000000}"/>
    <hyperlink ref="A106" r:id="rId96" xr:uid="{00000000-0004-0000-0000-00005F000000}"/>
    <hyperlink ref="A107" r:id="rId97" xr:uid="{00000000-0004-0000-0000-000060000000}"/>
    <hyperlink ref="A108" r:id="rId98" xr:uid="{00000000-0004-0000-0000-000061000000}"/>
    <hyperlink ref="A109" r:id="rId99" xr:uid="{00000000-0004-0000-0000-000062000000}"/>
    <hyperlink ref="A110" r:id="rId100" xr:uid="{00000000-0004-0000-0000-000063000000}"/>
    <hyperlink ref="A111" r:id="rId101" xr:uid="{00000000-0004-0000-0000-000064000000}"/>
    <hyperlink ref="A112" r:id="rId102" xr:uid="{00000000-0004-0000-0000-000065000000}"/>
    <hyperlink ref="A113" r:id="rId103" xr:uid="{00000000-0004-0000-0000-000066000000}"/>
    <hyperlink ref="A114" r:id="rId104" xr:uid="{00000000-0004-0000-0000-000067000000}"/>
    <hyperlink ref="A115" r:id="rId105" xr:uid="{00000000-0004-0000-0000-000068000000}"/>
    <hyperlink ref="A116" r:id="rId106" xr:uid="{00000000-0004-0000-0000-000069000000}"/>
    <hyperlink ref="A117" r:id="rId107" xr:uid="{00000000-0004-0000-0000-00006A000000}"/>
    <hyperlink ref="A118" r:id="rId108" xr:uid="{00000000-0004-0000-0000-00006B000000}"/>
    <hyperlink ref="A119" r:id="rId109" xr:uid="{00000000-0004-0000-0000-00006C000000}"/>
    <hyperlink ref="A120" r:id="rId110" xr:uid="{00000000-0004-0000-0000-00006D000000}"/>
    <hyperlink ref="A121" r:id="rId111" xr:uid="{00000000-0004-0000-0000-00006E000000}"/>
    <hyperlink ref="A122" r:id="rId112" xr:uid="{00000000-0004-0000-0000-00006F000000}"/>
    <hyperlink ref="A102" r:id="rId113" xr:uid="{00000000-0004-0000-0000-000070000000}"/>
    <hyperlink ref="A123" r:id="rId114" xr:uid="{00000000-0004-0000-0000-000071000000}"/>
    <hyperlink ref="A124" r:id="rId115" xr:uid="{00000000-0004-0000-0000-000072000000}"/>
    <hyperlink ref="A125" r:id="rId116" xr:uid="{00000000-0004-0000-0000-000073000000}"/>
    <hyperlink ref="A126" r:id="rId117" xr:uid="{00000000-0004-0000-0000-000074000000}"/>
    <hyperlink ref="A127" r:id="rId118" xr:uid="{00000000-0004-0000-0000-000075000000}"/>
    <hyperlink ref="A128" r:id="rId119" xr:uid="{00000000-0004-0000-0000-000076000000}"/>
    <hyperlink ref="A129" r:id="rId120" xr:uid="{00000000-0004-0000-0000-000077000000}"/>
    <hyperlink ref="A130" r:id="rId121" xr:uid="{00000000-0004-0000-0000-000078000000}"/>
    <hyperlink ref="A131" r:id="rId122" xr:uid="{00000000-0004-0000-0000-000079000000}"/>
    <hyperlink ref="A132" r:id="rId123" xr:uid="{00000000-0004-0000-0000-00007A000000}"/>
    <hyperlink ref="A133" r:id="rId124" xr:uid="{00000000-0004-0000-0000-00007B000000}"/>
    <hyperlink ref="A134" r:id="rId125" xr:uid="{00000000-0004-0000-0000-00007C000000}"/>
    <hyperlink ref="A135" r:id="rId126" xr:uid="{00000000-0004-0000-0000-00007D000000}"/>
    <hyperlink ref="A136" r:id="rId127" xr:uid="{00000000-0004-0000-0000-00007E000000}"/>
    <hyperlink ref="A137" r:id="rId128" xr:uid="{00000000-0004-0000-0000-00007F000000}"/>
    <hyperlink ref="A139" r:id="rId129" xr:uid="{00000000-0004-0000-0000-000080000000}"/>
    <hyperlink ref="A140" r:id="rId130" xr:uid="{00000000-0004-0000-0000-000081000000}"/>
    <hyperlink ref="A141" r:id="rId131" xr:uid="{00000000-0004-0000-0000-000082000000}"/>
    <hyperlink ref="A142" r:id="rId132" xr:uid="{00000000-0004-0000-0000-000083000000}"/>
    <hyperlink ref="A144" r:id="rId133" xr:uid="{00000000-0004-0000-0000-000084000000}"/>
    <hyperlink ref="A143" r:id="rId134" xr:uid="{00000000-0004-0000-0000-000085000000}"/>
    <hyperlink ref="A138" r:id="rId135" xr:uid="{00000000-0004-0000-0000-000086000000}"/>
    <hyperlink ref="A145" r:id="rId136" xr:uid="{00000000-0004-0000-0000-000087000000}"/>
    <hyperlink ref="A146" r:id="rId137" xr:uid="{00000000-0004-0000-0000-000088000000}"/>
    <hyperlink ref="A147" r:id="rId138" xr:uid="{00000000-0004-0000-0000-000089000000}"/>
    <hyperlink ref="A148" r:id="rId139" xr:uid="{00000000-0004-0000-0000-00008A000000}"/>
    <hyperlink ref="A149" r:id="rId140" xr:uid="{00000000-0004-0000-0000-00008B000000}"/>
    <hyperlink ref="A150" r:id="rId141" xr:uid="{00000000-0004-0000-0000-00008C000000}"/>
    <hyperlink ref="A151" r:id="rId142" xr:uid="{00000000-0004-0000-0000-00008D000000}"/>
    <hyperlink ref="A152" r:id="rId143" xr:uid="{00000000-0004-0000-0000-00008E000000}"/>
    <hyperlink ref="A153" r:id="rId144" xr:uid="{00000000-0004-0000-0000-00008F000000}"/>
    <hyperlink ref="A154" r:id="rId145" xr:uid="{00000000-0004-0000-0000-000090000000}"/>
    <hyperlink ref="A156" r:id="rId146" xr:uid="{00000000-0004-0000-0000-000091000000}"/>
    <hyperlink ref="A157" r:id="rId147" xr:uid="{00000000-0004-0000-0000-000092000000}"/>
    <hyperlink ref="A158" r:id="rId148" xr:uid="{00000000-0004-0000-0000-000093000000}"/>
    <hyperlink ref="A159" r:id="rId149" xr:uid="{00000000-0004-0000-0000-000094000000}"/>
    <hyperlink ref="A160" r:id="rId150" xr:uid="{00000000-0004-0000-0000-000095000000}"/>
    <hyperlink ref="A161" r:id="rId151" xr:uid="{00000000-0004-0000-0000-000096000000}"/>
    <hyperlink ref="A162" r:id="rId152" xr:uid="{00000000-0004-0000-0000-000097000000}"/>
    <hyperlink ref="A163" r:id="rId153" xr:uid="{00000000-0004-0000-0000-000098000000}"/>
    <hyperlink ref="A164" r:id="rId154" xr:uid="{00000000-0004-0000-0000-000099000000}"/>
    <hyperlink ref="A166" r:id="rId155" xr:uid="{00000000-0004-0000-0000-00009A000000}"/>
    <hyperlink ref="A167" r:id="rId156" xr:uid="{00000000-0004-0000-0000-00009B000000}"/>
    <hyperlink ref="A168" r:id="rId157" xr:uid="{00000000-0004-0000-0000-00009C000000}"/>
    <hyperlink ref="A169" r:id="rId158" xr:uid="{00000000-0004-0000-0000-00009D000000}"/>
    <hyperlink ref="A170" r:id="rId159" xr:uid="{00000000-0004-0000-0000-00009E000000}"/>
    <hyperlink ref="A171" r:id="rId160" xr:uid="{00000000-0004-0000-0000-00009F000000}"/>
    <hyperlink ref="A172" r:id="rId161" xr:uid="{00000000-0004-0000-0000-0000A0000000}"/>
    <hyperlink ref="A174" r:id="rId162" xr:uid="{00000000-0004-0000-0000-0000A1000000}"/>
    <hyperlink ref="A175" r:id="rId163" xr:uid="{00000000-0004-0000-0000-0000A2000000}"/>
    <hyperlink ref="A176" r:id="rId164" xr:uid="{00000000-0004-0000-0000-0000A3000000}"/>
    <hyperlink ref="A177" r:id="rId165" xr:uid="{00000000-0004-0000-0000-0000A4000000}"/>
    <hyperlink ref="A178" r:id="rId166" xr:uid="{00000000-0004-0000-0000-0000A5000000}"/>
    <hyperlink ref="A179" r:id="rId167" xr:uid="{00000000-0004-0000-0000-0000A6000000}"/>
    <hyperlink ref="A173" r:id="rId168" xr:uid="{00000000-0004-0000-0000-0000A7000000}"/>
    <hyperlink ref="A180" r:id="rId169" xr:uid="{00000000-0004-0000-0000-0000A8000000}"/>
    <hyperlink ref="A181" r:id="rId170" xr:uid="{00000000-0004-0000-0000-0000A9000000}"/>
    <hyperlink ref="A182" r:id="rId171" xr:uid="{00000000-0004-0000-0000-0000AA000000}"/>
    <hyperlink ref="A183" r:id="rId172" xr:uid="{00000000-0004-0000-0000-0000AB000000}"/>
    <hyperlink ref="A184" r:id="rId173" xr:uid="{00000000-0004-0000-0000-0000AC000000}"/>
    <hyperlink ref="A185" r:id="rId174" xr:uid="{00000000-0004-0000-0000-0000AD000000}"/>
    <hyperlink ref="A186" r:id="rId175" xr:uid="{00000000-0004-0000-0000-0000AE000000}"/>
    <hyperlink ref="A187" r:id="rId176" xr:uid="{00000000-0004-0000-0000-0000AF000000}"/>
    <hyperlink ref="A188" r:id="rId177" xr:uid="{00000000-0004-0000-0000-0000B0000000}"/>
    <hyperlink ref="A189" r:id="rId178" xr:uid="{00000000-0004-0000-0000-0000B1000000}"/>
    <hyperlink ref="A190" r:id="rId179" xr:uid="{00000000-0004-0000-0000-0000B2000000}"/>
    <hyperlink ref="A191" r:id="rId180" xr:uid="{00000000-0004-0000-0000-0000B3000000}"/>
    <hyperlink ref="A192" r:id="rId181" xr:uid="{00000000-0004-0000-0000-0000B4000000}"/>
    <hyperlink ref="A193" r:id="rId182" xr:uid="{00000000-0004-0000-0000-0000B5000000}"/>
    <hyperlink ref="A195" r:id="rId183" xr:uid="{00000000-0004-0000-0000-0000B6000000}"/>
    <hyperlink ref="A197" r:id="rId184" xr:uid="{00000000-0004-0000-0000-0000B7000000}"/>
    <hyperlink ref="A198" r:id="rId185" xr:uid="{00000000-0004-0000-0000-0000B8000000}"/>
    <hyperlink ref="A199" r:id="rId186" xr:uid="{00000000-0004-0000-0000-0000B9000000}"/>
    <hyperlink ref="A201" r:id="rId187" xr:uid="{00000000-0004-0000-0000-0000BA000000}"/>
    <hyperlink ref="A202" r:id="rId188" xr:uid="{00000000-0004-0000-0000-0000BB000000}"/>
    <hyperlink ref="A206" r:id="rId189" xr:uid="{00000000-0004-0000-0000-0000BC000000}"/>
    <hyperlink ref="A200" r:id="rId190" xr:uid="{00000000-0004-0000-0000-0000BD000000}"/>
    <hyperlink ref="A203" r:id="rId191" xr:uid="{00000000-0004-0000-0000-0000BE000000}"/>
    <hyperlink ref="A204" r:id="rId192" xr:uid="{00000000-0004-0000-0000-0000BF000000}"/>
    <hyperlink ref="A205" r:id="rId193" xr:uid="{00000000-0004-0000-0000-0000C0000000}"/>
    <hyperlink ref="A196" r:id="rId194" xr:uid="{00000000-0004-0000-0000-0000C1000000}"/>
    <hyperlink ref="A194" r:id="rId195" xr:uid="{00000000-0004-0000-0000-0000C2000000}"/>
    <hyperlink ref="A207" r:id="rId196" xr:uid="{00000000-0004-0000-0000-0000C3000000}"/>
    <hyperlink ref="A208" r:id="rId197" xr:uid="{00000000-0004-0000-0000-0000C4000000}"/>
    <hyperlink ref="A209" r:id="rId198" xr:uid="{00000000-0004-0000-0000-0000C5000000}"/>
    <hyperlink ref="A210" r:id="rId199" xr:uid="{00000000-0004-0000-0000-0000C6000000}"/>
    <hyperlink ref="A211" r:id="rId200" xr:uid="{00000000-0004-0000-0000-0000C7000000}"/>
    <hyperlink ref="A212" r:id="rId201" xr:uid="{00000000-0004-0000-0000-0000C8000000}"/>
    <hyperlink ref="A213" r:id="rId202" xr:uid="{00000000-0004-0000-0000-0000C9000000}"/>
    <hyperlink ref="A214" r:id="rId203" xr:uid="{00000000-0004-0000-0000-0000CA000000}"/>
    <hyperlink ref="A215" r:id="rId204" xr:uid="{00000000-0004-0000-0000-0000CB000000}"/>
    <hyperlink ref="A216" r:id="rId205" xr:uid="{00000000-0004-0000-0000-0000CC000000}"/>
    <hyperlink ref="A218" r:id="rId206" xr:uid="{00000000-0004-0000-0000-0000CD000000}"/>
    <hyperlink ref="A219" r:id="rId207" xr:uid="{00000000-0004-0000-0000-0000CE000000}"/>
    <hyperlink ref="A220" r:id="rId208" xr:uid="{00000000-0004-0000-0000-0000CF000000}"/>
    <hyperlink ref="A221" r:id="rId209" xr:uid="{00000000-0004-0000-0000-0000D0000000}"/>
    <hyperlink ref="A222" r:id="rId210" xr:uid="{00000000-0004-0000-0000-0000D1000000}"/>
    <hyperlink ref="A223" r:id="rId211" xr:uid="{00000000-0004-0000-0000-0000D2000000}"/>
    <hyperlink ref="A224" r:id="rId212" xr:uid="{00000000-0004-0000-0000-0000D3000000}"/>
    <hyperlink ref="A225" r:id="rId213" xr:uid="{00000000-0004-0000-0000-0000D4000000}"/>
    <hyperlink ref="A226" r:id="rId214" xr:uid="{00000000-0004-0000-0000-0000D5000000}"/>
    <hyperlink ref="A227" r:id="rId215" xr:uid="{00000000-0004-0000-0000-0000D6000000}"/>
    <hyperlink ref="A228" r:id="rId216" xr:uid="{00000000-0004-0000-0000-0000D7000000}"/>
    <hyperlink ref="A229" r:id="rId217" xr:uid="{00000000-0004-0000-0000-0000D8000000}"/>
    <hyperlink ref="A230" r:id="rId218" xr:uid="{00000000-0004-0000-0000-0000D9000000}"/>
    <hyperlink ref="A231" r:id="rId219" xr:uid="{00000000-0004-0000-0000-0000DA000000}"/>
    <hyperlink ref="A232" r:id="rId220" xr:uid="{00000000-0004-0000-0000-0000DB000000}"/>
    <hyperlink ref="A233" r:id="rId221" xr:uid="{00000000-0004-0000-0000-0000DC000000}"/>
    <hyperlink ref="A234" r:id="rId222" xr:uid="{00000000-0004-0000-0000-0000DD000000}"/>
    <hyperlink ref="A235" r:id="rId223" xr:uid="{00000000-0004-0000-0000-0000DE000000}"/>
    <hyperlink ref="A237" r:id="rId224" xr:uid="{00000000-0004-0000-0000-0000DF000000}"/>
    <hyperlink ref="A236" r:id="rId225" xr:uid="{00000000-0004-0000-0000-0000E0000000}"/>
    <hyperlink ref="A239" r:id="rId226" xr:uid="{00000000-0004-0000-0000-0000E1000000}"/>
    <hyperlink ref="A238" r:id="rId227" xr:uid="{00000000-0004-0000-0000-0000E2000000}"/>
    <hyperlink ref="A240" r:id="rId228" xr:uid="{00000000-0004-0000-0000-0000E3000000}"/>
    <hyperlink ref="A217" r:id="rId229" xr:uid="{00000000-0004-0000-0000-0000E4000000}"/>
    <hyperlink ref="A165" r:id="rId230" xr:uid="{00000000-0004-0000-0000-0000E5000000}"/>
    <hyperlink ref="A241" r:id="rId231" xr:uid="{00000000-0004-0000-0000-0000E6000000}"/>
    <hyperlink ref="A242" r:id="rId232" xr:uid="{00000000-0004-0000-0000-0000E7000000}"/>
    <hyperlink ref="A245" r:id="rId233" xr:uid="{00000000-0004-0000-0000-0000E8000000}"/>
    <hyperlink ref="A246" r:id="rId234" xr:uid="{00000000-0004-0000-0000-0000E9000000}"/>
    <hyperlink ref="A247" r:id="rId235" xr:uid="{00000000-0004-0000-0000-0000EA000000}"/>
    <hyperlink ref="A248" r:id="rId236" xr:uid="{00000000-0004-0000-0000-0000EB000000}"/>
    <hyperlink ref="A249" r:id="rId237" xr:uid="{00000000-0004-0000-0000-0000EC000000}"/>
    <hyperlink ref="A251" r:id="rId238" xr:uid="{00000000-0004-0000-0000-0000ED000000}"/>
    <hyperlink ref="A252" r:id="rId239" xr:uid="{00000000-0004-0000-0000-0000EE000000}"/>
    <hyperlink ref="A253" r:id="rId240" xr:uid="{00000000-0004-0000-0000-0000EF000000}"/>
    <hyperlink ref="A254" r:id="rId241" xr:uid="{00000000-0004-0000-0000-0000F0000000}"/>
    <hyperlink ref="A255" r:id="rId242" xr:uid="{00000000-0004-0000-0000-0000F1000000}"/>
    <hyperlink ref="A256" r:id="rId243" xr:uid="{00000000-0004-0000-0000-0000F2000000}"/>
    <hyperlink ref="A257" r:id="rId244" xr:uid="{00000000-0004-0000-0000-0000F3000000}"/>
    <hyperlink ref="A258" r:id="rId245" xr:uid="{00000000-0004-0000-0000-0000F4000000}"/>
    <hyperlink ref="A259" r:id="rId246" xr:uid="{00000000-0004-0000-0000-0000F5000000}"/>
    <hyperlink ref="A260" r:id="rId247" xr:uid="{00000000-0004-0000-0000-0000F6000000}"/>
    <hyperlink ref="A261" r:id="rId248" xr:uid="{00000000-0004-0000-0000-0000F7000000}"/>
    <hyperlink ref="A262" r:id="rId249" xr:uid="{00000000-0004-0000-0000-0000F8000000}"/>
    <hyperlink ref="A263" r:id="rId250" xr:uid="{00000000-0004-0000-0000-0000F9000000}"/>
    <hyperlink ref="A264" r:id="rId251" xr:uid="{00000000-0004-0000-0000-0000FA000000}"/>
    <hyperlink ref="A265" r:id="rId252" xr:uid="{00000000-0004-0000-0000-0000FB000000}"/>
    <hyperlink ref="A266" r:id="rId253" xr:uid="{00000000-0004-0000-0000-0000FC000000}"/>
    <hyperlink ref="A267" r:id="rId254" xr:uid="{00000000-0004-0000-0000-0000FD000000}"/>
    <hyperlink ref="A268" r:id="rId255" xr:uid="{00000000-0004-0000-0000-0000FE000000}"/>
    <hyperlink ref="A275" r:id="rId256" xr:uid="{00000000-0004-0000-0000-0000FF000000}"/>
    <hyperlink ref="A276" r:id="rId257" xr:uid="{00000000-0004-0000-0000-000000010000}"/>
    <hyperlink ref="A272" r:id="rId258" xr:uid="{00000000-0004-0000-0000-000001010000}"/>
    <hyperlink ref="A278" r:id="rId259" xr:uid="{00000000-0004-0000-0000-000002010000}"/>
    <hyperlink ref="A282" r:id="rId260" xr:uid="{00000000-0004-0000-0000-000003010000}"/>
    <hyperlink ref="A250" r:id="rId261" xr:uid="{00000000-0004-0000-0000-000004010000}"/>
    <hyperlink ref="A283" r:id="rId262" xr:uid="{00000000-0004-0000-0000-000005010000}"/>
    <hyperlink ref="A281" r:id="rId263" xr:uid="{00000000-0004-0000-0000-000006010000}"/>
    <hyperlink ref="A280" r:id="rId264" xr:uid="{00000000-0004-0000-0000-000007010000}"/>
    <hyperlink ref="A279" r:id="rId265" xr:uid="{00000000-0004-0000-0000-000008010000}"/>
    <hyperlink ref="A269" r:id="rId266" xr:uid="{00000000-0004-0000-0000-000009010000}"/>
    <hyperlink ref="A270" r:id="rId267" xr:uid="{00000000-0004-0000-0000-00000A010000}"/>
    <hyperlink ref="A271" r:id="rId268" xr:uid="{00000000-0004-0000-0000-00000B010000}"/>
    <hyperlink ref="A273" r:id="rId269" xr:uid="{00000000-0004-0000-0000-00000C010000}"/>
    <hyperlink ref="A274" r:id="rId270" xr:uid="{00000000-0004-0000-0000-00000D010000}"/>
    <hyperlink ref="A277" r:id="rId271" xr:uid="{00000000-0004-0000-0000-00000E010000}"/>
    <hyperlink ref="A284" r:id="rId272" xr:uid="{00000000-0004-0000-0000-00000F010000}"/>
    <hyperlink ref="A285" r:id="rId273" xr:uid="{00000000-0004-0000-0000-000010010000}"/>
    <hyperlink ref="A286" r:id="rId274" xr:uid="{00000000-0004-0000-0000-000011010000}"/>
    <hyperlink ref="A287" r:id="rId275" xr:uid="{00000000-0004-0000-0000-000012010000}"/>
    <hyperlink ref="A288" r:id="rId276" xr:uid="{00000000-0004-0000-0000-000013010000}"/>
    <hyperlink ref="A289" r:id="rId277" xr:uid="{00000000-0004-0000-0000-000014010000}"/>
    <hyperlink ref="A290" r:id="rId278" xr:uid="{00000000-0004-0000-0000-000015010000}"/>
    <hyperlink ref="A292" r:id="rId279" xr:uid="{00000000-0004-0000-0000-000016010000}"/>
    <hyperlink ref="A291" r:id="rId280" xr:uid="{00000000-0004-0000-0000-000017010000}"/>
    <hyperlink ref="A293" r:id="rId281" xr:uid="{00000000-0004-0000-0000-000018010000}"/>
    <hyperlink ref="A294" r:id="rId282" xr:uid="{00000000-0004-0000-0000-000019010000}"/>
    <hyperlink ref="A295" r:id="rId283" xr:uid="{00000000-0004-0000-0000-00001A010000}"/>
    <hyperlink ref="A296" r:id="rId284" xr:uid="{00000000-0004-0000-0000-00001B010000}"/>
    <hyperlink ref="A297" r:id="rId285" xr:uid="{00000000-0004-0000-0000-00001C010000}"/>
    <hyperlink ref="A298" r:id="rId286" xr:uid="{00000000-0004-0000-0000-00001D010000}"/>
    <hyperlink ref="A299" r:id="rId287" xr:uid="{00000000-0004-0000-0000-00001E010000}"/>
    <hyperlink ref="E1" r:id="rId288" display="GPI" xr:uid="{00000000-0004-0000-0000-00001F010000}"/>
    <hyperlink ref="F1" r:id="rId289" display="..\..\..\QCI Business System\Forms (FRM)\Engineering\FRM-EN-007 Change Alert.doc" xr:uid="{00000000-0004-0000-0000-000020010000}"/>
    <hyperlink ref="A303" r:id="rId290" xr:uid="{00000000-0004-0000-0000-000021010000}"/>
    <hyperlink ref="A304" r:id="rId291" xr:uid="{00000000-0004-0000-0000-000022010000}"/>
    <hyperlink ref="A309" r:id="rId292" xr:uid="{00000000-0004-0000-0000-000023010000}"/>
    <hyperlink ref="A300" r:id="rId293" xr:uid="{00000000-0004-0000-0000-000024010000}"/>
    <hyperlink ref="A301" r:id="rId294" xr:uid="{00000000-0004-0000-0000-000025010000}"/>
    <hyperlink ref="A302" r:id="rId295" xr:uid="{00000000-0004-0000-0000-000026010000}"/>
    <hyperlink ref="A305" r:id="rId296" xr:uid="{00000000-0004-0000-0000-000027010000}"/>
    <hyperlink ref="A306" r:id="rId297" xr:uid="{00000000-0004-0000-0000-000028010000}"/>
    <hyperlink ref="A307" r:id="rId298" xr:uid="{00000000-0004-0000-0000-000029010000}"/>
    <hyperlink ref="A308" r:id="rId299" xr:uid="{00000000-0004-0000-0000-00002A010000}"/>
    <hyperlink ref="A310" r:id="rId300" xr:uid="{00000000-0004-0000-0000-00002B010000}"/>
    <hyperlink ref="A311" r:id="rId301" xr:uid="{00000000-0004-0000-0000-00002C010000}"/>
    <hyperlink ref="A312" r:id="rId302" xr:uid="{00000000-0004-0000-0000-00002D010000}"/>
    <hyperlink ref="A313" r:id="rId303" xr:uid="{00000000-0004-0000-0000-00002E010000}"/>
    <hyperlink ref="A314" r:id="rId304" xr:uid="{00000000-0004-0000-0000-00002F010000}"/>
    <hyperlink ref="A315" r:id="rId305" xr:uid="{00000000-0004-0000-0000-000030010000}"/>
    <hyperlink ref="A316" r:id="rId306" xr:uid="{00000000-0004-0000-0000-000031010000}"/>
    <hyperlink ref="A317" r:id="rId307" xr:uid="{00000000-0004-0000-0000-000032010000}"/>
    <hyperlink ref="A318" r:id="rId308" xr:uid="{00000000-0004-0000-0000-000033010000}"/>
    <hyperlink ref="A319" r:id="rId309" xr:uid="{00000000-0004-0000-0000-000034010000}"/>
    <hyperlink ref="A320" r:id="rId310" xr:uid="{00000000-0004-0000-0000-000035010000}"/>
    <hyperlink ref="A321" r:id="rId311" xr:uid="{00000000-0004-0000-0000-000036010000}"/>
    <hyperlink ref="A322" r:id="rId312" xr:uid="{00000000-0004-0000-0000-000037010000}"/>
    <hyperlink ref="A324" r:id="rId313" xr:uid="{00000000-0004-0000-0000-000038010000}"/>
    <hyperlink ref="A323" r:id="rId314" xr:uid="{00000000-0004-0000-0000-000039010000}"/>
    <hyperlink ref="A325" r:id="rId315" xr:uid="{00000000-0004-0000-0000-00003A010000}"/>
    <hyperlink ref="A326" r:id="rId316" xr:uid="{00000000-0004-0000-0000-00003B010000}"/>
    <hyperlink ref="A328" r:id="rId317" xr:uid="{00000000-0004-0000-0000-00003C010000}"/>
    <hyperlink ref="A329" r:id="rId318" xr:uid="{00000000-0004-0000-0000-00003D010000}"/>
    <hyperlink ref="A327" r:id="rId319" xr:uid="{00000000-0004-0000-0000-00003E010000}"/>
    <hyperlink ref="A331" r:id="rId320" xr:uid="{00000000-0004-0000-0000-00003F010000}"/>
    <hyperlink ref="A332" r:id="rId321" xr:uid="{00000000-0004-0000-0000-000040010000}"/>
    <hyperlink ref="A333" r:id="rId322" xr:uid="{00000000-0004-0000-0000-000041010000}"/>
    <hyperlink ref="A334" r:id="rId323" xr:uid="{00000000-0004-0000-0000-000042010000}"/>
    <hyperlink ref="A336" r:id="rId324" xr:uid="{00000000-0004-0000-0000-000043010000}"/>
    <hyperlink ref="A335" r:id="rId325" xr:uid="{00000000-0004-0000-0000-000044010000}"/>
    <hyperlink ref="A337" r:id="rId326" xr:uid="{00000000-0004-0000-0000-000045010000}"/>
    <hyperlink ref="A338" r:id="rId327" xr:uid="{00000000-0004-0000-0000-000046010000}"/>
    <hyperlink ref="A339" r:id="rId328" xr:uid="{00000000-0004-0000-0000-000047010000}"/>
    <hyperlink ref="A330" r:id="rId329" xr:uid="{00000000-0004-0000-0000-000048010000}"/>
    <hyperlink ref="A341" r:id="rId330" xr:uid="{00000000-0004-0000-0000-000049010000}"/>
    <hyperlink ref="A340" r:id="rId331" xr:uid="{00000000-0004-0000-0000-00004A010000}"/>
    <hyperlink ref="A342" r:id="rId332" xr:uid="{00000000-0004-0000-0000-00004B010000}"/>
    <hyperlink ref="A343" r:id="rId333" xr:uid="{00000000-0004-0000-0000-00004C010000}"/>
    <hyperlink ref="A344" r:id="rId334" xr:uid="{00000000-0004-0000-0000-00004D010000}"/>
    <hyperlink ref="A345" r:id="rId335" xr:uid="{00000000-0004-0000-0000-00004E010000}"/>
    <hyperlink ref="A347" r:id="rId336" xr:uid="{00000000-0004-0000-0000-00004F010000}"/>
    <hyperlink ref="A348" r:id="rId337" xr:uid="{00000000-0004-0000-0000-000050010000}"/>
    <hyperlink ref="A349" r:id="rId338" xr:uid="{00000000-0004-0000-0000-000051010000}"/>
    <hyperlink ref="A350" r:id="rId339" xr:uid="{00000000-0004-0000-0000-000052010000}"/>
    <hyperlink ref="A351" r:id="rId340" xr:uid="{00000000-0004-0000-0000-000053010000}"/>
    <hyperlink ref="A352" r:id="rId341" xr:uid="{00000000-0004-0000-0000-000054010000}"/>
    <hyperlink ref="A354" r:id="rId342" xr:uid="{00000000-0004-0000-0000-000055010000}"/>
    <hyperlink ref="A355" r:id="rId343" xr:uid="{00000000-0004-0000-0000-000056010000}"/>
    <hyperlink ref="A357" r:id="rId344" xr:uid="{00000000-0004-0000-0000-000057010000}"/>
    <hyperlink ref="A358" r:id="rId345" xr:uid="{00000000-0004-0000-0000-000058010000}"/>
    <hyperlink ref="A359" r:id="rId346" xr:uid="{00000000-0004-0000-0000-000059010000}"/>
    <hyperlink ref="A360" r:id="rId347" xr:uid="{00000000-0004-0000-0000-00005A010000}"/>
    <hyperlink ref="A361" r:id="rId348" xr:uid="{00000000-0004-0000-0000-00005B010000}"/>
    <hyperlink ref="A362" r:id="rId349" xr:uid="{00000000-0004-0000-0000-00005C010000}"/>
    <hyperlink ref="A364" r:id="rId350" xr:uid="{00000000-0004-0000-0000-00005D010000}"/>
    <hyperlink ref="A365" r:id="rId351" xr:uid="{00000000-0004-0000-0000-00005E010000}"/>
    <hyperlink ref="A368" r:id="rId352" xr:uid="{00000000-0004-0000-0000-00005F010000}"/>
    <hyperlink ref="A369" r:id="rId353" xr:uid="{00000000-0004-0000-0000-000060010000}"/>
    <hyperlink ref="A370" r:id="rId354" xr:uid="{00000000-0004-0000-0000-000061010000}"/>
    <hyperlink ref="A371" r:id="rId355" xr:uid="{00000000-0004-0000-0000-000062010000}"/>
    <hyperlink ref="A372" r:id="rId356" xr:uid="{00000000-0004-0000-0000-000063010000}"/>
    <hyperlink ref="A366" r:id="rId357" xr:uid="{00000000-0004-0000-0000-000064010000}"/>
    <hyperlink ref="A356" r:id="rId358" xr:uid="{00000000-0004-0000-0000-000065010000}"/>
    <hyperlink ref="A363" r:id="rId359" xr:uid="{00000000-0004-0000-0000-000066010000}"/>
    <hyperlink ref="A346" r:id="rId360" xr:uid="{00000000-0004-0000-0000-000067010000}"/>
    <hyperlink ref="A353" r:id="rId361" xr:uid="{00000000-0004-0000-0000-000068010000}"/>
    <hyperlink ref="A373" r:id="rId362" xr:uid="{00000000-0004-0000-0000-000069010000}"/>
    <hyperlink ref="A374" r:id="rId363" xr:uid="{00000000-0004-0000-0000-00006A010000}"/>
    <hyperlink ref="A375" r:id="rId364" xr:uid="{00000000-0004-0000-0000-00006B010000}"/>
    <hyperlink ref="A376" r:id="rId365" xr:uid="{00000000-0004-0000-0000-00006C010000}"/>
    <hyperlink ref="A377" r:id="rId366" xr:uid="{00000000-0004-0000-0000-00006D010000}"/>
    <hyperlink ref="A378" r:id="rId367" xr:uid="{00000000-0004-0000-0000-00006E010000}"/>
    <hyperlink ref="A381" r:id="rId368" xr:uid="{00000000-0004-0000-0000-00006F010000}"/>
    <hyperlink ref="A380" r:id="rId369" xr:uid="{00000000-0004-0000-0000-000070010000}"/>
    <hyperlink ref="A379" r:id="rId370" xr:uid="{00000000-0004-0000-0000-000071010000}"/>
    <hyperlink ref="A382" r:id="rId371" xr:uid="{00000000-0004-0000-0000-000072010000}"/>
    <hyperlink ref="A383" r:id="rId372" xr:uid="{00000000-0004-0000-0000-000073010000}"/>
    <hyperlink ref="A384" r:id="rId373" xr:uid="{00000000-0004-0000-0000-000074010000}"/>
    <hyperlink ref="A386" r:id="rId374" xr:uid="{00000000-0004-0000-0000-000075010000}"/>
    <hyperlink ref="A385" r:id="rId375" xr:uid="{00000000-0004-0000-0000-000076010000}"/>
    <hyperlink ref="A387" r:id="rId376" xr:uid="{00000000-0004-0000-0000-000077010000}"/>
    <hyperlink ref="A388" r:id="rId377" xr:uid="{00000000-0004-0000-0000-000078010000}"/>
    <hyperlink ref="A389" r:id="rId378" xr:uid="{00000000-0004-0000-0000-000079010000}"/>
    <hyperlink ref="A390" r:id="rId379" xr:uid="{00000000-0004-0000-0000-00007A010000}"/>
    <hyperlink ref="A391" r:id="rId380" xr:uid="{00000000-0004-0000-0000-00007B010000}"/>
    <hyperlink ref="A392" r:id="rId381" xr:uid="{00000000-0004-0000-0000-00007C010000}"/>
    <hyperlink ref="A393" r:id="rId382" xr:uid="{00000000-0004-0000-0000-00007D010000}"/>
    <hyperlink ref="A394" r:id="rId383" xr:uid="{00000000-0004-0000-0000-00007E010000}"/>
    <hyperlink ref="A395" r:id="rId384" xr:uid="{00000000-0004-0000-0000-00007F010000}"/>
    <hyperlink ref="A396" r:id="rId385" xr:uid="{00000000-0004-0000-0000-000080010000}"/>
    <hyperlink ref="A397" r:id="rId386" xr:uid="{00000000-0004-0000-0000-000081010000}"/>
    <hyperlink ref="A398" r:id="rId387" xr:uid="{00000000-0004-0000-0000-000082010000}"/>
    <hyperlink ref="A399" r:id="rId388" xr:uid="{00000000-0004-0000-0000-000083010000}"/>
    <hyperlink ref="A400" r:id="rId389" xr:uid="{00000000-0004-0000-0000-000084010000}"/>
    <hyperlink ref="A401" r:id="rId390" xr:uid="{00000000-0004-0000-0000-000085010000}"/>
    <hyperlink ref="A402" r:id="rId391" xr:uid="{00000000-0004-0000-0000-000086010000}"/>
    <hyperlink ref="A403" r:id="rId392" xr:uid="{00000000-0004-0000-0000-000087010000}"/>
    <hyperlink ref="A404" r:id="rId393" xr:uid="{00000000-0004-0000-0000-000088010000}"/>
    <hyperlink ref="A405" r:id="rId394" xr:uid="{00000000-0004-0000-0000-000089010000}"/>
    <hyperlink ref="A406" r:id="rId395" xr:uid="{00000000-0004-0000-0000-00008A010000}"/>
    <hyperlink ref="A407" r:id="rId396" xr:uid="{00000000-0004-0000-0000-00008B010000}"/>
    <hyperlink ref="A408" r:id="rId397" xr:uid="{00000000-0004-0000-0000-00008C010000}"/>
    <hyperlink ref="A409" r:id="rId398" xr:uid="{00000000-0004-0000-0000-00008D010000}"/>
    <hyperlink ref="A410" r:id="rId399" xr:uid="{00000000-0004-0000-0000-00008E010000}"/>
    <hyperlink ref="A411" r:id="rId400" xr:uid="{00000000-0004-0000-0000-00008F010000}"/>
    <hyperlink ref="A412" r:id="rId401" xr:uid="{00000000-0004-0000-0000-000090010000}"/>
    <hyperlink ref="A413" r:id="rId402" xr:uid="{00000000-0004-0000-0000-000091010000}"/>
    <hyperlink ref="A418" r:id="rId403" xr:uid="{00000000-0004-0000-0000-000092010000}"/>
    <hyperlink ref="A419" r:id="rId404" xr:uid="{00000000-0004-0000-0000-000093010000}"/>
    <hyperlink ref="A421" r:id="rId405" xr:uid="{00000000-0004-0000-0000-000094010000}"/>
    <hyperlink ref="A423" r:id="rId406" xr:uid="{00000000-0004-0000-0000-000095010000}"/>
    <hyperlink ref="A425" r:id="rId407" xr:uid="{00000000-0004-0000-0000-000096010000}"/>
    <hyperlink ref="A428" r:id="rId408" xr:uid="{00000000-0004-0000-0000-000097010000}"/>
    <hyperlink ref="A429" r:id="rId409" xr:uid="{00000000-0004-0000-0000-000098010000}"/>
    <hyperlink ref="A430" r:id="rId410" xr:uid="{00000000-0004-0000-0000-000099010000}"/>
    <hyperlink ref="A431" r:id="rId411" xr:uid="{00000000-0004-0000-0000-00009A010000}"/>
    <hyperlink ref="A432" r:id="rId412" xr:uid="{00000000-0004-0000-0000-00009B010000}"/>
    <hyperlink ref="A433" r:id="rId413" xr:uid="{00000000-0004-0000-0000-00009C010000}"/>
    <hyperlink ref="A434" r:id="rId414" xr:uid="{00000000-0004-0000-0000-00009D010000}"/>
    <hyperlink ref="A435" r:id="rId415" xr:uid="{00000000-0004-0000-0000-00009E010000}"/>
    <hyperlink ref="A436" r:id="rId416" xr:uid="{00000000-0004-0000-0000-00009F010000}"/>
    <hyperlink ref="A437" r:id="rId417" xr:uid="{00000000-0004-0000-0000-0000A0010000}"/>
    <hyperlink ref="A438" r:id="rId418" xr:uid="{00000000-0004-0000-0000-0000A1010000}"/>
    <hyperlink ref="A440" r:id="rId419" xr:uid="{00000000-0004-0000-0000-0000A2010000}"/>
    <hyperlink ref="A441" r:id="rId420" xr:uid="{00000000-0004-0000-0000-0000A3010000}"/>
    <hyperlink ref="A442" r:id="rId421" xr:uid="{00000000-0004-0000-0000-0000A4010000}"/>
    <hyperlink ref="A443" r:id="rId422" xr:uid="{00000000-0004-0000-0000-0000A5010000}"/>
    <hyperlink ref="A444" r:id="rId423" xr:uid="{00000000-0004-0000-0000-0000A6010000}"/>
    <hyperlink ref="A445" r:id="rId424" xr:uid="{00000000-0004-0000-0000-0000A7010000}"/>
    <hyperlink ref="A447" r:id="rId425" xr:uid="{00000000-0004-0000-0000-0000A8010000}"/>
    <hyperlink ref="A449" r:id="rId426" xr:uid="{00000000-0004-0000-0000-0000A9010000}"/>
    <hyperlink ref="A450" r:id="rId427" xr:uid="{00000000-0004-0000-0000-0000AA010000}"/>
    <hyperlink ref="A452" r:id="rId428" xr:uid="{00000000-0004-0000-0000-0000AB010000}"/>
    <hyperlink ref="A453" r:id="rId429" xr:uid="{00000000-0004-0000-0000-0000AC010000}"/>
    <hyperlink ref="A454" r:id="rId430" xr:uid="{00000000-0004-0000-0000-0000AD010000}"/>
    <hyperlink ref="A455" r:id="rId431" xr:uid="{00000000-0004-0000-0000-0000AE010000}"/>
    <hyperlink ref="A456" r:id="rId432" xr:uid="{00000000-0004-0000-0000-0000AF010000}"/>
    <hyperlink ref="A457" r:id="rId433" xr:uid="{00000000-0004-0000-0000-0000B0010000}"/>
    <hyperlink ref="A458" r:id="rId434" xr:uid="{00000000-0004-0000-0000-0000B1010000}"/>
    <hyperlink ref="A459" r:id="rId435" xr:uid="{00000000-0004-0000-0000-0000B2010000}"/>
    <hyperlink ref="A460" r:id="rId436" xr:uid="{00000000-0004-0000-0000-0000B3010000}"/>
    <hyperlink ref="A451" r:id="rId437" xr:uid="{00000000-0004-0000-0000-0000B4010000}"/>
    <hyperlink ref="A427" r:id="rId438" xr:uid="{00000000-0004-0000-0000-0000B5010000}"/>
    <hyperlink ref="A461" r:id="rId439" xr:uid="{00000000-0004-0000-0000-0000B6010000}"/>
    <hyperlink ref="A462" r:id="rId440" xr:uid="{00000000-0004-0000-0000-0000B7010000}"/>
    <hyperlink ref="A463" r:id="rId441" xr:uid="{00000000-0004-0000-0000-0000B8010000}"/>
    <hyperlink ref="A464" r:id="rId442" xr:uid="{00000000-0004-0000-0000-0000B9010000}"/>
    <hyperlink ref="A465" r:id="rId443" xr:uid="{00000000-0004-0000-0000-0000BA010000}"/>
    <hyperlink ref="A466" r:id="rId444" xr:uid="{00000000-0004-0000-0000-0000BB010000}"/>
    <hyperlink ref="A467" r:id="rId445" xr:uid="{00000000-0004-0000-0000-0000BC010000}"/>
    <hyperlink ref="A468" r:id="rId446" xr:uid="{00000000-0004-0000-0000-0000BD010000}"/>
    <hyperlink ref="A469" r:id="rId447" xr:uid="{00000000-0004-0000-0000-0000BE010000}"/>
    <hyperlink ref="A470" r:id="rId448" xr:uid="{00000000-0004-0000-0000-0000BF010000}"/>
    <hyperlink ref="A471" r:id="rId449" xr:uid="{00000000-0004-0000-0000-0000C0010000}"/>
    <hyperlink ref="A472" r:id="rId450" xr:uid="{00000000-0004-0000-0000-0000C1010000}"/>
    <hyperlink ref="A426" r:id="rId451" xr:uid="{00000000-0004-0000-0000-0000C2010000}"/>
    <hyperlink ref="A439" r:id="rId452" xr:uid="{00000000-0004-0000-0000-0000C3010000}"/>
    <hyperlink ref="A446" r:id="rId453" xr:uid="{00000000-0004-0000-0000-0000C4010000}"/>
    <hyperlink ref="A473" r:id="rId454" xr:uid="{00000000-0004-0000-0000-0000C5010000}"/>
    <hyperlink ref="A474" r:id="rId455" xr:uid="{00000000-0004-0000-0000-0000C6010000}"/>
    <hyperlink ref="A475" r:id="rId456" xr:uid="{00000000-0004-0000-0000-0000C7010000}"/>
    <hyperlink ref="A476" r:id="rId457" xr:uid="{00000000-0004-0000-0000-0000C8010000}"/>
    <hyperlink ref="A477" r:id="rId458" xr:uid="{00000000-0004-0000-0000-0000C9010000}"/>
    <hyperlink ref="A478" r:id="rId459" xr:uid="{00000000-0004-0000-0000-0000CA010000}"/>
    <hyperlink ref="A479" r:id="rId460" xr:uid="{00000000-0004-0000-0000-0000CB010000}"/>
    <hyperlink ref="A480" r:id="rId461" xr:uid="{00000000-0004-0000-0000-0000CC010000}"/>
    <hyperlink ref="A481" r:id="rId462" xr:uid="{00000000-0004-0000-0000-0000CD010000}"/>
    <hyperlink ref="A482" r:id="rId463" xr:uid="{00000000-0004-0000-0000-0000CE010000}"/>
    <hyperlink ref="A483" r:id="rId464" xr:uid="{00000000-0004-0000-0000-0000CF010000}"/>
    <hyperlink ref="A484" r:id="rId465" xr:uid="{00000000-0004-0000-0000-0000D0010000}"/>
    <hyperlink ref="A485" r:id="rId466" xr:uid="{00000000-0004-0000-0000-0000D1010000}"/>
    <hyperlink ref="A486" r:id="rId467" xr:uid="{00000000-0004-0000-0000-0000D2010000}"/>
    <hyperlink ref="A487" r:id="rId468" xr:uid="{00000000-0004-0000-0000-0000D3010000}"/>
    <hyperlink ref="A488" r:id="rId469" xr:uid="{00000000-0004-0000-0000-0000D4010000}"/>
    <hyperlink ref="A489" r:id="rId470" xr:uid="{00000000-0004-0000-0000-0000D5010000}"/>
    <hyperlink ref="A490" r:id="rId471" xr:uid="{00000000-0004-0000-0000-0000D6010000}"/>
    <hyperlink ref="A491" r:id="rId472" xr:uid="{00000000-0004-0000-0000-0000D7010000}"/>
    <hyperlink ref="A492" r:id="rId473" xr:uid="{00000000-0004-0000-0000-0000D8010000}"/>
    <hyperlink ref="A493" r:id="rId474" xr:uid="{00000000-0004-0000-0000-0000D9010000}"/>
    <hyperlink ref="A494" r:id="rId475" xr:uid="{00000000-0004-0000-0000-0000DA010000}"/>
    <hyperlink ref="A495" r:id="rId476" xr:uid="{00000000-0004-0000-0000-0000DB010000}"/>
    <hyperlink ref="A496" r:id="rId477" xr:uid="{00000000-0004-0000-0000-0000DC010000}"/>
    <hyperlink ref="A498" r:id="rId478" xr:uid="{00000000-0004-0000-0000-0000DD010000}"/>
    <hyperlink ref="A497" r:id="rId479" xr:uid="{00000000-0004-0000-0000-0000DE010000}"/>
    <hyperlink ref="A499" r:id="rId480" xr:uid="{00000000-0004-0000-0000-0000DF010000}"/>
    <hyperlink ref="A500" r:id="rId481" xr:uid="{00000000-0004-0000-0000-0000E0010000}"/>
    <hyperlink ref="A501" r:id="rId482" xr:uid="{00000000-0004-0000-0000-0000E1010000}"/>
    <hyperlink ref="A502" r:id="rId483" xr:uid="{00000000-0004-0000-0000-0000E2010000}"/>
    <hyperlink ref="A503" r:id="rId484" xr:uid="{00000000-0004-0000-0000-0000E3010000}"/>
    <hyperlink ref="A504" r:id="rId485" xr:uid="{00000000-0004-0000-0000-0000E4010000}"/>
    <hyperlink ref="A506" r:id="rId486" xr:uid="{00000000-0004-0000-0000-0000E5010000}"/>
    <hyperlink ref="A507" r:id="rId487" xr:uid="{00000000-0004-0000-0000-0000E6010000}"/>
    <hyperlink ref="A508" r:id="rId488" xr:uid="{00000000-0004-0000-0000-0000E7010000}"/>
    <hyperlink ref="A509" r:id="rId489" xr:uid="{00000000-0004-0000-0000-0000E8010000}"/>
    <hyperlink ref="A510" r:id="rId490" xr:uid="{00000000-0004-0000-0000-0000E9010000}"/>
    <hyperlink ref="A511" r:id="rId491" xr:uid="{00000000-0004-0000-0000-0000EA010000}"/>
    <hyperlink ref="A512" r:id="rId492" xr:uid="{00000000-0004-0000-0000-0000EB010000}"/>
    <hyperlink ref="A513" r:id="rId493" xr:uid="{00000000-0004-0000-0000-0000EC010000}"/>
    <hyperlink ref="A505" r:id="rId494" display="22-049" xr:uid="{00000000-0004-0000-0000-0000ED010000}"/>
    <hyperlink ref="A514" r:id="rId495" xr:uid="{00000000-0004-0000-0000-0000EE010000}"/>
    <hyperlink ref="A515" r:id="rId496" xr:uid="{00000000-0004-0000-0000-0000EF010000}"/>
    <hyperlink ref="A516" r:id="rId497" xr:uid="{00000000-0004-0000-0000-0000F0010000}"/>
    <hyperlink ref="A517" r:id="rId498" xr:uid="{00000000-0004-0000-0000-0000F1010000}"/>
    <hyperlink ref="A518" r:id="rId499" xr:uid="{00000000-0004-0000-0000-0000F2010000}"/>
    <hyperlink ref="A519" r:id="rId500" xr:uid="{00000000-0004-0000-0000-0000F3010000}"/>
    <hyperlink ref="A520" r:id="rId501" xr:uid="{00000000-0004-0000-0000-0000F4010000}"/>
    <hyperlink ref="A521" r:id="rId502" xr:uid="{00000000-0004-0000-0000-0000F5010000}"/>
    <hyperlink ref="A522" r:id="rId503" xr:uid="{00000000-0004-0000-0000-0000F6010000}"/>
    <hyperlink ref="A523" r:id="rId504" xr:uid="{00000000-0004-0000-0000-0000F7010000}"/>
    <hyperlink ref="A524" r:id="rId505" xr:uid="{00000000-0004-0000-0000-0000F8010000}"/>
    <hyperlink ref="A525" r:id="rId506" xr:uid="{00000000-0004-0000-0000-0000F9010000}"/>
    <hyperlink ref="A526" r:id="rId507" xr:uid="{00000000-0004-0000-0000-0000FA010000}"/>
    <hyperlink ref="A527" r:id="rId508" xr:uid="{00000000-0004-0000-0000-0000FB010000}"/>
    <hyperlink ref="A528" r:id="rId509" xr:uid="{00000000-0004-0000-0000-0000FC010000}"/>
    <hyperlink ref="A529" r:id="rId510" xr:uid="{00000000-0004-0000-0000-0000FD010000}"/>
    <hyperlink ref="A530" r:id="rId511" xr:uid="{00000000-0004-0000-0000-0000FE010000}"/>
    <hyperlink ref="A531" r:id="rId512" xr:uid="{00000000-0004-0000-0000-0000FF010000}"/>
    <hyperlink ref="A532" r:id="rId513" xr:uid="{00000000-0004-0000-0000-000000020000}"/>
    <hyperlink ref="A533" r:id="rId514" xr:uid="{00000000-0004-0000-0000-000001020000}"/>
    <hyperlink ref="A534" r:id="rId515" xr:uid="{00000000-0004-0000-0000-000002020000}"/>
    <hyperlink ref="A535" r:id="rId516" xr:uid="{00000000-0004-0000-0000-000003020000}"/>
    <hyperlink ref="A536" r:id="rId517" xr:uid="{00000000-0004-0000-0000-000004020000}"/>
    <hyperlink ref="A537" r:id="rId518" xr:uid="{00000000-0004-0000-0000-000005020000}"/>
    <hyperlink ref="A538" r:id="rId519" xr:uid="{00000000-0004-0000-0000-000006020000}"/>
    <hyperlink ref="A540" r:id="rId520" xr:uid="{00000000-0004-0000-0000-000007020000}"/>
    <hyperlink ref="A539" r:id="rId521" xr:uid="{00000000-0004-0000-0000-000008020000}"/>
    <hyperlink ref="A541" r:id="rId522" xr:uid="{00000000-0004-0000-0000-000009020000}"/>
    <hyperlink ref="A543" r:id="rId523" xr:uid="{00000000-0004-0000-0000-00000A020000}"/>
    <hyperlink ref="A547" r:id="rId524" xr:uid="{00000000-0004-0000-0000-00000B020000}"/>
    <hyperlink ref="A544" r:id="rId525" xr:uid="{00000000-0004-0000-0000-00000C020000}"/>
    <hyperlink ref="A548" r:id="rId526" xr:uid="{00000000-0004-0000-0000-00000D020000}"/>
    <hyperlink ref="A545" r:id="rId527" xr:uid="{00000000-0004-0000-0000-00000E020000}"/>
    <hyperlink ref="A546" r:id="rId528" xr:uid="{00000000-0004-0000-0000-00000F020000}"/>
    <hyperlink ref="A542" r:id="rId529" xr:uid="{00000000-0004-0000-0000-000010020000}"/>
    <hyperlink ref="A549" r:id="rId530" xr:uid="{00000000-0004-0000-0000-000011020000}"/>
    <hyperlink ref="A551" r:id="rId531" xr:uid="{00000000-0004-0000-0000-000012020000}"/>
    <hyperlink ref="A550" r:id="rId532" xr:uid="{00000000-0004-0000-0000-000013020000}"/>
    <hyperlink ref="A553" r:id="rId533" xr:uid="{00000000-0004-0000-0000-000014020000}"/>
    <hyperlink ref="A552" r:id="rId534" xr:uid="{00000000-0004-0000-0000-000015020000}"/>
    <hyperlink ref="A554" r:id="rId535" xr:uid="{00000000-0004-0000-0000-000016020000}"/>
    <hyperlink ref="A555" r:id="rId536" xr:uid="{00000000-0004-0000-0000-000017020000}"/>
    <hyperlink ref="A556" r:id="rId537" xr:uid="{00000000-0004-0000-0000-000018020000}"/>
    <hyperlink ref="A557" r:id="rId538" xr:uid="{00000000-0004-0000-0000-000019020000}"/>
    <hyperlink ref="A558" r:id="rId539" xr:uid="{00000000-0004-0000-0000-00001A020000}"/>
    <hyperlink ref="A559" r:id="rId540" xr:uid="{00000000-0004-0000-0000-00001B020000}"/>
    <hyperlink ref="A560" r:id="rId541" xr:uid="{00000000-0004-0000-0000-00001C020000}"/>
    <hyperlink ref="A561" r:id="rId542" xr:uid="{00000000-0004-0000-0000-00001D020000}"/>
    <hyperlink ref="A562" r:id="rId543" xr:uid="{00000000-0004-0000-0000-00001E020000}"/>
    <hyperlink ref="A563" r:id="rId544" xr:uid="{00000000-0004-0000-0000-00001F020000}"/>
    <hyperlink ref="A564" r:id="rId545" xr:uid="{00000000-0004-0000-0000-000020020000}"/>
    <hyperlink ref="A565" r:id="rId546" xr:uid="{00000000-0004-0000-0000-000021020000}"/>
    <hyperlink ref="A566" r:id="rId547" xr:uid="{00000000-0004-0000-0000-000022020000}"/>
    <hyperlink ref="A567" r:id="rId548" xr:uid="{00000000-0004-0000-0000-000023020000}"/>
    <hyperlink ref="A571" r:id="rId549" xr:uid="{00000000-0004-0000-0000-000024020000}"/>
    <hyperlink ref="A570" r:id="rId550" xr:uid="{00000000-0004-0000-0000-000025020000}"/>
    <hyperlink ref="A569" r:id="rId551" xr:uid="{00000000-0004-0000-0000-000026020000}"/>
    <hyperlink ref="A568" r:id="rId552" xr:uid="{00000000-0004-0000-0000-000027020000}"/>
    <hyperlink ref="A572" r:id="rId553" xr:uid="{00000000-0004-0000-0000-000028020000}"/>
    <hyperlink ref="A573" r:id="rId554" xr:uid="{00000000-0004-0000-0000-000029020000}"/>
    <hyperlink ref="A574" r:id="rId555" xr:uid="{00000000-0004-0000-0000-00002A020000}"/>
    <hyperlink ref="A575" r:id="rId556" xr:uid="{00000000-0004-0000-0000-00002B020000}"/>
    <hyperlink ref="A576" r:id="rId557" xr:uid="{00000000-0004-0000-0000-00002C020000}"/>
    <hyperlink ref="A577" r:id="rId558" xr:uid="{00000000-0004-0000-0000-00002D020000}"/>
    <hyperlink ref="A578" r:id="rId559" xr:uid="{00000000-0004-0000-0000-00002E020000}"/>
    <hyperlink ref="A579" r:id="rId560" xr:uid="{00000000-0004-0000-0000-00002F020000}"/>
    <hyperlink ref="A580" r:id="rId561" xr:uid="{00000000-0004-0000-0000-000030020000}"/>
    <hyperlink ref="A581" r:id="rId562" xr:uid="{00000000-0004-0000-0000-000031020000}"/>
    <hyperlink ref="A582" r:id="rId563" xr:uid="{00000000-0004-0000-0000-000032020000}"/>
    <hyperlink ref="A583" r:id="rId564" xr:uid="{00000000-0004-0000-0000-000033020000}"/>
    <hyperlink ref="A584" r:id="rId565" xr:uid="{00000000-0004-0000-0000-000034020000}"/>
    <hyperlink ref="A585" r:id="rId566" xr:uid="{00000000-0004-0000-0000-000035020000}"/>
    <hyperlink ref="A586" r:id="rId567" xr:uid="{00000000-0004-0000-0000-000036020000}"/>
    <hyperlink ref="A587" r:id="rId568" xr:uid="{00000000-0004-0000-0000-000037020000}"/>
    <hyperlink ref="A588" r:id="rId569" xr:uid="{00000000-0004-0000-0000-000038020000}"/>
    <hyperlink ref="A589" r:id="rId570" xr:uid="{00000000-0004-0000-0000-000039020000}"/>
    <hyperlink ref="A590" r:id="rId571" xr:uid="{00000000-0004-0000-0000-00003A020000}"/>
    <hyperlink ref="A591" r:id="rId572" xr:uid="{00000000-0004-0000-0000-00003B020000}"/>
    <hyperlink ref="A592" r:id="rId573" xr:uid="{00000000-0004-0000-0000-00003C020000}"/>
    <hyperlink ref="A593" r:id="rId574" xr:uid="{00000000-0004-0000-0000-00003D020000}"/>
    <hyperlink ref="A594" r:id="rId575" xr:uid="{00000000-0004-0000-0000-00003E020000}"/>
    <hyperlink ref="A595" r:id="rId576" xr:uid="{00000000-0004-0000-0000-00003F020000}"/>
    <hyperlink ref="A596" r:id="rId577" xr:uid="{00000000-0004-0000-0000-000040020000}"/>
    <hyperlink ref="A597" r:id="rId578" xr:uid="{00000000-0004-0000-0000-000041020000}"/>
    <hyperlink ref="A598" r:id="rId579" xr:uid="{00000000-0004-0000-0000-000042020000}"/>
    <hyperlink ref="A599" r:id="rId580" xr:uid="{00000000-0004-0000-0000-000043020000}"/>
    <hyperlink ref="A600" r:id="rId581" xr:uid="{00000000-0004-0000-0000-000044020000}"/>
    <hyperlink ref="A601" r:id="rId582" xr:uid="{00000000-0004-0000-0000-000045020000}"/>
    <hyperlink ref="A602" r:id="rId583" xr:uid="{F5909964-9905-4C62-8384-3D298AD51274}"/>
    <hyperlink ref="A603" r:id="rId584" xr:uid="{8D196BDE-52D8-44FD-895F-B2E92E0990AA}"/>
    <hyperlink ref="A605" r:id="rId585" xr:uid="{B13A6571-F728-44A9-A428-40D6842F715C}"/>
    <hyperlink ref="A604" r:id="rId586" xr:uid="{44ECD63A-DD53-4CEE-8F43-3C7F90692BE0}"/>
    <hyperlink ref="A606" r:id="rId587" xr:uid="{BBED318A-6659-45AE-A009-B6C8BD62611D}"/>
    <hyperlink ref="A607" r:id="rId588" xr:uid="{61366955-8962-434D-B937-2A62D01AB97B}"/>
    <hyperlink ref="A608" r:id="rId589" xr:uid="{19BFA566-369C-4457-A0FA-A9CB4C4C426F}"/>
    <hyperlink ref="A609" r:id="rId590" xr:uid="{DC6194E8-4414-4401-B73F-442A14F60FDB}"/>
    <hyperlink ref="A610" r:id="rId591" xr:uid="{4E8E65BA-32FD-4CC1-B78B-1B03F4C6C39D}"/>
    <hyperlink ref="A611" r:id="rId592" xr:uid="{E9CC7D89-7DAB-4F07-8090-6BE07E4FB6CF}"/>
    <hyperlink ref="A612" r:id="rId593" xr:uid="{B8AC1918-8A25-4310-BB17-61438A1C6A0E}"/>
    <hyperlink ref="A616" r:id="rId594" xr:uid="{D1A91307-E4F2-4994-89A4-F6E285CADD42}"/>
    <hyperlink ref="A615" r:id="rId595" xr:uid="{EA14D1C0-6C6D-4D48-859B-1C22043FCD2B}"/>
    <hyperlink ref="A614" r:id="rId596" xr:uid="{193EE994-3F92-4FE7-8F86-DB42C24EB1CD}"/>
    <hyperlink ref="A613" r:id="rId597" xr:uid="{0D7BBB71-3EB4-499E-82AD-A52EC38436AA}"/>
    <hyperlink ref="A618" r:id="rId598" xr:uid="{759C0F8F-E447-41BF-AB30-0CF51166F014}"/>
    <hyperlink ref="A620" r:id="rId599" xr:uid="{8C7607F0-A65E-4D92-88EF-7196B95FFFD1}"/>
    <hyperlink ref="A621" r:id="rId600" xr:uid="{13DA7700-42BD-4FFC-AAA4-2A4CC63B998E}"/>
    <hyperlink ref="A622" r:id="rId601" xr:uid="{742592F6-B3C6-45B8-A48F-A7541E6F03DF}"/>
    <hyperlink ref="A623" r:id="rId602" xr:uid="{CD22CC1D-5184-4859-B65E-E9418BC396C4}"/>
    <hyperlink ref="A624" r:id="rId603" xr:uid="{45752AA7-092F-4BDE-B437-8F612AEA0400}"/>
    <hyperlink ref="A625" r:id="rId604" xr:uid="{942848D4-5FBD-462C-B972-0993EAC4A9DC}"/>
    <hyperlink ref="A626" r:id="rId605" xr:uid="{66C11069-99B3-4B16-9813-8BE25ED150EF}"/>
    <hyperlink ref="A627" r:id="rId606" xr:uid="{838EA277-B309-480C-B4A2-A82C961C9051}"/>
    <hyperlink ref="A628" r:id="rId607" xr:uid="{D4FD6F58-D262-4A8A-B071-35717A9C582C}"/>
    <hyperlink ref="A630" r:id="rId608" xr:uid="{308B0629-3BC5-4A56-B718-E38E960FBC97}"/>
    <hyperlink ref="A629" r:id="rId609" xr:uid="{9BA521BF-F824-4C82-918E-C7A390E3655D}"/>
    <hyperlink ref="A632" r:id="rId610" xr:uid="{45D5327E-543D-49D5-8B9F-4CDDD5C5DEFF}"/>
    <hyperlink ref="A631" r:id="rId611" xr:uid="{B2CE6D79-25A4-4BDF-BAFD-BBE115D38DBA}"/>
    <hyperlink ref="A633" r:id="rId612" xr:uid="{7C20B4C4-CBBF-4CDC-98C4-83DEB4630A8C}"/>
    <hyperlink ref="A634" r:id="rId613" xr:uid="{6D3F9DFF-1DCC-4308-B326-5463FFD2D423}"/>
    <hyperlink ref="A635" r:id="rId614" xr:uid="{F9E10C14-A6E7-498A-B48B-08BE3FF9104B}"/>
    <hyperlink ref="A636" r:id="rId615" xr:uid="{1A4D480B-B219-4A10-85BE-CD249B1776A4}"/>
    <hyperlink ref="A637" r:id="rId616" xr:uid="{94C230C6-7FE3-4821-89C4-27D71DD16C39}"/>
    <hyperlink ref="A638" r:id="rId617" xr:uid="{60AD4D1E-DC5B-468C-8980-5F0F22D95EA0}"/>
    <hyperlink ref="A639" r:id="rId618" xr:uid="{988B09DF-B578-4F7E-A82B-5A374B48EF89}"/>
    <hyperlink ref="A641" r:id="rId619" xr:uid="{348491F9-38FE-4845-8C9C-D737E7193B60}"/>
    <hyperlink ref="A642" r:id="rId620" xr:uid="{15139142-49F4-4E6D-A8DC-1F0BFC555317}"/>
    <hyperlink ref="A643" r:id="rId621" xr:uid="{EA10DED6-34A1-4FA2-A9F2-FE3098FCC1A4}"/>
    <hyperlink ref="A644" r:id="rId622" xr:uid="{ADDDA750-E90B-4D49-A37E-CE6E11262D3E}"/>
    <hyperlink ref="A645" r:id="rId623" xr:uid="{2D380F91-62EC-4448-AE65-B13E91131BB7}"/>
    <hyperlink ref="A640" r:id="rId624" xr:uid="{4F78AE44-3F5E-4431-8228-AB3DE0B45856}"/>
    <hyperlink ref="A646" r:id="rId625" xr:uid="{950B4337-B764-4E95-B70C-114FB952C2C5}"/>
    <hyperlink ref="A647" r:id="rId626" xr:uid="{EEBCB038-3771-4D3B-AF84-2B8E12B8CD2B}"/>
    <hyperlink ref="A648" r:id="rId627" xr:uid="{FA5C1256-EC16-4372-A17C-A51D84FA591E}"/>
    <hyperlink ref="A649" r:id="rId628" xr:uid="{3494153C-E0EF-451A-93C9-575051546CD2}"/>
    <hyperlink ref="A650" r:id="rId629" xr:uid="{E2BE5713-8278-442F-96E4-A570FE4E6960}"/>
    <hyperlink ref="A651" r:id="rId630" xr:uid="{1F88A9CF-87C6-4A99-A957-7F4CA7D39533}"/>
    <hyperlink ref="A652" r:id="rId631" xr:uid="{411A7921-2F7E-41EB-B0B1-832156B320E1}"/>
    <hyperlink ref="A653" r:id="rId632" xr:uid="{C8B79579-080D-4506-9F1C-6485FB222D56}"/>
    <hyperlink ref="A654" r:id="rId633" xr:uid="{1C99D5FC-5DFC-4623-A110-ADE9B9729C06}"/>
    <hyperlink ref="A657" r:id="rId634" xr:uid="{C61E461F-BD44-462A-92AF-FDBC97E23B24}"/>
    <hyperlink ref="A656" r:id="rId635" xr:uid="{4E52E6B7-684F-4465-AC1B-06268953F978}"/>
    <hyperlink ref="A655" r:id="rId636" xr:uid="{2514FA17-7330-4D2C-A6CA-F2A63BB2982D}"/>
    <hyperlink ref="A658" r:id="rId637" xr:uid="{62A90681-A5E8-4F26-9CA5-3C4E4D5450BB}"/>
    <hyperlink ref="A659" r:id="rId638" xr:uid="{057040CC-E030-4A54-8B2D-1B12B1BBDA47}"/>
    <hyperlink ref="A660" r:id="rId639" xr:uid="{A49E4DBE-6CCC-4088-AE24-CDB48CE651FA}"/>
    <hyperlink ref="A661" r:id="rId640" xr:uid="{221540C7-5A54-49F7-8B8B-91499EE92E7A}"/>
    <hyperlink ref="A662" r:id="rId641" xr:uid="{64449CC2-A6E3-44F3-A3E6-A4414734EAC8}"/>
    <hyperlink ref="A663" r:id="rId642" xr:uid="{4F644CE6-B15D-47F9-9BFC-969F10C5D5A4}"/>
    <hyperlink ref="A664" r:id="rId643" xr:uid="{EFC9E8DA-17F0-419D-A02F-7131F8ADDCC9}"/>
    <hyperlink ref="A665" r:id="rId644" xr:uid="{6716AE92-FF14-4E7B-B714-E71D602E0693}"/>
    <hyperlink ref="A666" r:id="rId645" xr:uid="{99B5F52B-DB5B-4D4E-9AEC-3268ACFF1FE5}"/>
    <hyperlink ref="A667" r:id="rId646" xr:uid="{D334024F-72F2-4652-9E7B-516C37691088}"/>
    <hyperlink ref="A668" r:id="rId647" xr:uid="{68C047D4-7F9A-4958-A3A0-ED04DD8428B5}"/>
    <hyperlink ref="A669" r:id="rId648" display="23-079" xr:uid="{9568B697-AA7F-4E52-95D0-2D4DA125B3A0}"/>
    <hyperlink ref="A670" r:id="rId649" xr:uid="{0B935BD7-DC7B-4E4C-AF37-7971B32C56EC}"/>
    <hyperlink ref="A671" r:id="rId650" xr:uid="{AC378484-B904-4437-83DE-87E2F987360D}"/>
    <hyperlink ref="A672" r:id="rId651" xr:uid="{D9D87D0D-F2D6-4130-AEF9-6E860DEA83A1}"/>
    <hyperlink ref="A677" r:id="rId652" xr:uid="{DD9B3963-666A-4D31-828E-A7D5042916AA}"/>
    <hyperlink ref="A673" r:id="rId653" xr:uid="{180006CA-B2D6-4BB2-80F1-B560A7EDEC7F}"/>
    <hyperlink ref="A674" r:id="rId654" xr:uid="{AF345850-9F85-4AC1-B947-0677BFEB1A24}"/>
    <hyperlink ref="A676" r:id="rId655" xr:uid="{7A69D9DD-C30C-48BA-BAAC-72D5DE3DDB21}"/>
    <hyperlink ref="A678" r:id="rId656" xr:uid="{B4E55ACC-2D4D-4124-AA06-18D4F2163A47}"/>
    <hyperlink ref="A679" r:id="rId657" xr:uid="{32B25C66-B1B2-4865-890A-DF7D58FCB8C1}"/>
    <hyperlink ref="A680" r:id="rId658" xr:uid="{18B109D9-7753-46CD-B35D-1CE5EA32EE5F}"/>
    <hyperlink ref="A682" r:id="rId659" xr:uid="{83E22E6B-D251-4DB0-9705-140801F3BEDA}"/>
    <hyperlink ref="A681" r:id="rId660" xr:uid="{839259E9-32AF-4271-9593-9ABDC74F5429}"/>
    <hyperlink ref="A684" r:id="rId661" xr:uid="{637F9ABF-8C82-47F2-A7DE-17F8DB69BE0F}"/>
    <hyperlink ref="A683" r:id="rId662" xr:uid="{C531F909-0833-4BF6-B72F-AEE2D45DF8EC}"/>
    <hyperlink ref="A685:A686" r:id="rId663" display="23-095" xr:uid="{75A97B8B-F19E-4DFB-85A2-BB98530F5598}"/>
    <hyperlink ref="A685" r:id="rId664" xr:uid="{DCCF47F5-8CC4-4D47-B87F-07DF3204B994}"/>
    <hyperlink ref="A686" r:id="rId665" xr:uid="{8BADB90F-78D7-47E6-BC26-9EBA4A72D67E}"/>
    <hyperlink ref="A687" r:id="rId666" xr:uid="{08CD33FE-16F8-44B6-921E-27DBF0E0AA36}"/>
    <hyperlink ref="A688" r:id="rId667" xr:uid="{2F2A5DB0-8034-43E8-817F-7CDC53D3F45D}"/>
    <hyperlink ref="A689" r:id="rId668" xr:uid="{8764BA34-E7AE-4F14-801F-413685A7CE25}"/>
    <hyperlink ref="A691" r:id="rId669" xr:uid="{E2F3F722-9C79-4376-B1A7-BD76B12DF7E1}"/>
    <hyperlink ref="A692" r:id="rId670" xr:uid="{DD511169-0399-43ED-AA54-A3D13E536FF4}"/>
    <hyperlink ref="A690" r:id="rId671" xr:uid="{199226A2-4149-4477-BA9D-BCFE61F353FE}"/>
    <hyperlink ref="A693" r:id="rId672" xr:uid="{E58317E7-0817-41B0-9392-7E892CD6AADC}"/>
    <hyperlink ref="A694" r:id="rId673" xr:uid="{AFCBF1EC-846D-4898-B563-00044A0D03E0}"/>
    <hyperlink ref="A695" r:id="rId674" xr:uid="{C047AA52-9633-4759-BF9C-BD74E5675927}"/>
    <hyperlink ref="A696" r:id="rId675" xr:uid="{8D4D556D-848C-4329-A83D-F15C950351C0}"/>
    <hyperlink ref="A697" r:id="rId676" xr:uid="{CF760E03-FA8E-4E7A-AF01-4D87D007C72A}"/>
    <hyperlink ref="A698" r:id="rId677" xr:uid="{F50E3F5F-1D95-4855-B494-E9AE2774D76F}"/>
    <hyperlink ref="A699" r:id="rId678" xr:uid="{B705BB15-4620-4785-8BA6-9A4297936578}"/>
    <hyperlink ref="A700" r:id="rId679" xr:uid="{17E21B3B-1E57-477A-9959-720D38F43776}"/>
    <hyperlink ref="A701" r:id="rId680" xr:uid="{2C1F8620-9BE5-4DF8-9F78-34A6EE9CE778}"/>
    <hyperlink ref="A702" r:id="rId681" xr:uid="{E5311E4B-9271-4131-9D17-6463B9BEB618}"/>
    <hyperlink ref="A703" r:id="rId682" xr:uid="{9F542A39-7950-40AD-A8E0-49C3432D180C}"/>
    <hyperlink ref="A704" r:id="rId683" xr:uid="{B536D492-073C-4B84-86FD-B10B089FA50E}"/>
    <hyperlink ref="A705" r:id="rId684" xr:uid="{FB854513-CAC6-4982-B892-BDA09C782621}"/>
    <hyperlink ref="A706" r:id="rId685" xr:uid="{D5C2E890-3FC3-492C-9A76-3AA8D1165F38}"/>
    <hyperlink ref="A708" r:id="rId686" xr:uid="{E6BFA170-42B9-4E81-A3A0-42369992BCE2}"/>
    <hyperlink ref="A710" r:id="rId687" xr:uid="{FAB77ACF-3B9E-46D8-BA77-F11685EA9AE8}"/>
    <hyperlink ref="A709" r:id="rId688" xr:uid="{89620C90-18D1-41D1-BC54-80FFB2D6C7D1}"/>
    <hyperlink ref="A711" r:id="rId689" xr:uid="{7C3F1B1D-1CFC-44B8-BEF9-6AFDEFD8BBB1}"/>
    <hyperlink ref="A712" r:id="rId690" xr:uid="{625DBFD9-1D90-40C2-B0B3-E24F80947AD8}"/>
    <hyperlink ref="A713" r:id="rId691" xr:uid="{B5C1D80D-A1CC-49DC-949A-E2C5B7F4127E}"/>
    <hyperlink ref="A714" r:id="rId692" xr:uid="{A9F332EF-E00C-4A6D-A2B9-558EA39F10D4}"/>
    <hyperlink ref="A715" r:id="rId693" xr:uid="{B20D6681-05D7-4F05-8ADA-C22CDAC10ABF}"/>
    <hyperlink ref="A716" r:id="rId694" xr:uid="{2C9DF183-7E82-4B33-AFF5-E3E94A687FDB}"/>
    <hyperlink ref="A717" r:id="rId695" xr:uid="{EB42BCFF-F711-43A6-A6A2-D9D0EC81E2DD}"/>
    <hyperlink ref="A718" r:id="rId696" xr:uid="{5A51976F-A0C1-477E-8C55-1233FDEE53AA}"/>
    <hyperlink ref="A719" r:id="rId697" xr:uid="{084D7822-CB28-4F96-8EEC-58FF13AE9D91}"/>
    <hyperlink ref="A720" r:id="rId698" xr:uid="{F81ABE6F-CFF4-4510-818F-F821727CF213}"/>
    <hyperlink ref="A721" r:id="rId699" xr:uid="{0C7F04BE-9F5D-4CAF-B47E-4B920D327F89}"/>
    <hyperlink ref="A722" r:id="rId700" xr:uid="{5C26A37C-79FB-45C1-A532-CFC7E0F26646}"/>
    <hyperlink ref="A723" r:id="rId701" xr:uid="{8E3F3400-D2E4-43F9-B9DE-C381A36103DE}"/>
    <hyperlink ref="A724" r:id="rId702" xr:uid="{EFD90B55-FE5A-4986-8442-E8B06BA12A84}"/>
    <hyperlink ref="A725" r:id="rId703" xr:uid="{9C2FA01F-2B2C-45C2-A645-4D0625019359}"/>
    <hyperlink ref="A726" r:id="rId704" xr:uid="{E6D71540-7D96-44F4-A8FA-DABF2064BA09}"/>
    <hyperlink ref="A727" r:id="rId705" xr:uid="{63858189-8191-48BB-BC9C-67CE89A4A694}"/>
    <hyperlink ref="A728" r:id="rId706" xr:uid="{F290E0B8-564E-4DB9-BC8F-35B81DC670F6}"/>
    <hyperlink ref="A729" r:id="rId707" xr:uid="{FFF22472-C56D-4B3B-B0AD-8DE1DD62EE4C}"/>
    <hyperlink ref="A730" r:id="rId708" xr:uid="{99E30402-675E-4B14-94D2-44B26F30AB2D}"/>
    <hyperlink ref="A732" r:id="rId709" xr:uid="{88CCEF53-CC68-4590-ABB8-08204E285449}"/>
    <hyperlink ref="A733" r:id="rId710" xr:uid="{6CD248A7-45C6-4EAD-8106-DD5F932024BF}"/>
    <hyperlink ref="A734" r:id="rId711" xr:uid="{D6AE738E-553C-40E8-A993-C9F9773E9607}"/>
    <hyperlink ref="A735" r:id="rId712" xr:uid="{580B0D6F-F6BD-4D9A-959B-91507E6741DC}"/>
    <hyperlink ref="A736" r:id="rId713" xr:uid="{1A66632E-18BD-4BB5-B591-8F57B37D4FDE}"/>
    <hyperlink ref="A737" r:id="rId714" xr:uid="{E6E2B905-F719-4EA5-837C-AA7D62546C7C}"/>
    <hyperlink ref="A738" r:id="rId715" xr:uid="{20601019-00E0-407B-9979-0572BBA507F1}"/>
    <hyperlink ref="A739" r:id="rId716" display="24-024" xr:uid="{39721E84-BB38-44F2-9DFF-2B8DC0183483}"/>
    <hyperlink ref="A740" r:id="rId717" xr:uid="{BD89602B-D7C3-41B8-96B8-898361A6AA0F}"/>
    <hyperlink ref="A741" r:id="rId718" xr:uid="{E0032363-512D-47CA-BFDF-933B09AC6199}"/>
    <hyperlink ref="A742" r:id="rId719" xr:uid="{51B1A8B5-9526-490A-8096-EF1EBDD1B9D2}"/>
    <hyperlink ref="A745" r:id="rId720" xr:uid="{43FBFADD-09A7-4B5B-B47B-CA35BBD7D906}"/>
    <hyperlink ref="A743" r:id="rId721" xr:uid="{6FB59D01-07A3-4260-992A-53DB643784A0}"/>
    <hyperlink ref="A744" r:id="rId722" xr:uid="{B691CCE3-8F84-493D-8284-2B826A86C423}"/>
    <hyperlink ref="A747" r:id="rId723" xr:uid="{9F277006-E357-4ADF-BEAE-BA34F5650083}"/>
    <hyperlink ref="A749" r:id="rId724" display="24-034" xr:uid="{5D2C8E43-07E2-4488-B538-0BAE779AE4D6}"/>
    <hyperlink ref="A746" r:id="rId725" xr:uid="{84B39069-AE22-4751-ABB6-8444C37E89BB}"/>
    <hyperlink ref="A748" r:id="rId726" xr:uid="{7AEE3FB7-3637-424B-B784-D3BD5F3ECF2C}"/>
    <hyperlink ref="A750" r:id="rId727" xr:uid="{678A4066-CB65-493C-AB3B-C4A07D6096C9}"/>
    <hyperlink ref="A751" r:id="rId728" xr:uid="{B31A2017-3E38-447F-9BCD-18C5EF364840}"/>
    <hyperlink ref="A752" r:id="rId729" xr:uid="{F97A355F-87BD-4810-BFF2-C98C21B893CB}"/>
    <hyperlink ref="A753" r:id="rId730" xr:uid="{2264598E-00D3-46EC-AEDC-7EF15CCAAD71}"/>
    <hyperlink ref="A754" r:id="rId731" xr:uid="{5C464C46-E952-412F-A0C3-948E083D8FA2}"/>
    <hyperlink ref="A755" r:id="rId732" xr:uid="{20774DF2-A3EA-444E-A11B-4267D9ACBE71}"/>
    <hyperlink ref="A756" r:id="rId733" xr:uid="{7CA01836-4EF5-4A47-A1DE-C91CEEE54490}"/>
    <hyperlink ref="A757" r:id="rId734" xr:uid="{4FD1DBCC-B212-4835-8A28-5A389EF8236B}"/>
    <hyperlink ref="A758" r:id="rId735" xr:uid="{94013398-0E0F-4E1C-AF8C-30A57A7070D6}"/>
    <hyperlink ref="A759" r:id="rId736" xr:uid="{EB6CC6B8-2BCE-4468-AD48-E6B49CAAF88C}"/>
    <hyperlink ref="A760" r:id="rId737" xr:uid="{9F0D3078-0C3F-4108-9DF0-21EBB5786B91}"/>
    <hyperlink ref="A761" r:id="rId738" xr:uid="{61449131-3293-4490-BEC7-08B2A14AE381}"/>
    <hyperlink ref="A762" r:id="rId739" xr:uid="{7509FED3-1E48-4FF7-9B81-642E15675833}"/>
    <hyperlink ref="A763" r:id="rId740" xr:uid="{418B7546-08C4-4555-ABBC-2D7FDE7AE24A}"/>
    <hyperlink ref="A764" r:id="rId741" xr:uid="{EFB1C79E-584A-40C8-8A46-9B4154830F0B}"/>
    <hyperlink ref="A766" r:id="rId742" xr:uid="{A689AB53-CA77-4537-B2EB-690C776CFD89}"/>
    <hyperlink ref="A767" r:id="rId743" xr:uid="{373B1E0D-EB7F-4FF7-97CB-58C4C5019829}"/>
    <hyperlink ref="A768" r:id="rId744" xr:uid="{F9188459-48C3-4EDD-95B5-A17F9DE2D395}"/>
    <hyperlink ref="A769" r:id="rId745" xr:uid="{0FC483E5-D7C9-445D-A7D8-1FF99BE9E886}"/>
    <hyperlink ref="A770" r:id="rId746" xr:uid="{23690FFF-8C80-41B0-B73A-33334540AB64}"/>
    <hyperlink ref="A771" r:id="rId747" xr:uid="{0A28912E-CE29-47E4-9B69-FC4E03581F7E}"/>
    <hyperlink ref="A772" r:id="rId748" xr:uid="{F415F742-7F8E-4306-9C11-7BF0B69E6543}"/>
    <hyperlink ref="A773" r:id="rId749" xr:uid="{1D56031A-1B8D-45FC-A644-1DDDFF789861}"/>
    <hyperlink ref="A774" r:id="rId750" xr:uid="{02E80264-86E5-4CBD-8B28-0DFD4264AFC6}"/>
    <hyperlink ref="A775:A776" r:id="rId751" display="24-061" xr:uid="{5A7FF313-B2F0-40FA-8EE1-EC1BC9F772F7}"/>
    <hyperlink ref="A775" r:id="rId752" xr:uid="{6F90DC3A-A1A4-4927-8E51-6EB4E25A9AAE}"/>
    <hyperlink ref="A776" r:id="rId753" xr:uid="{414A7925-F58E-4756-A540-E626B7E1F649}"/>
    <hyperlink ref="A777" r:id="rId754" xr:uid="{FB99B493-AAAA-4A4B-AF9A-5ED4B0F80FB8}"/>
    <hyperlink ref="A778" r:id="rId755" xr:uid="{99475057-50E9-4F53-BABF-1727CDB16432}"/>
    <hyperlink ref="A779" r:id="rId756" xr:uid="{78DEBC11-CF2E-47E1-9D49-0A8062FF6E97}"/>
    <hyperlink ref="A780" r:id="rId757" xr:uid="{66286C2E-7A3B-4A66-AE8B-353378A8BD00}"/>
    <hyperlink ref="A782" r:id="rId758" xr:uid="{C2E1470F-A521-4611-855F-9B3E97D7EF08}"/>
    <hyperlink ref="A781" r:id="rId759" xr:uid="{D97A45CF-ACB6-4E0E-98AF-6791DBB986D1}"/>
    <hyperlink ref="A783" r:id="rId760" xr:uid="{6A5A11F2-8C72-4FD9-97AB-99D2A255911E}"/>
    <hyperlink ref="A784" r:id="rId761" xr:uid="{813AF8EE-7D59-4A23-A73E-A9801CE12D2F}"/>
    <hyperlink ref="A785" r:id="rId762" xr:uid="{82F75AB9-B2D1-4356-9344-35598AF3ABA1}"/>
    <hyperlink ref="A786" r:id="rId763" xr:uid="{17F2E83D-697B-4242-A8C4-956860AC0C86}"/>
    <hyperlink ref="A787" r:id="rId764" xr:uid="{88E04F3C-E25F-445E-A7EB-7ABDB793BC10}"/>
    <hyperlink ref="A788" r:id="rId765" xr:uid="{923CBC89-22DF-47F5-904F-D5737A1198CF}"/>
    <hyperlink ref="A789" r:id="rId766" xr:uid="{A3FED5B4-F733-452E-9DA1-7B64BA6F971F}"/>
    <hyperlink ref="A790" r:id="rId767" xr:uid="{28D66A36-9E69-4917-B557-1CD9E1988B69}"/>
    <hyperlink ref="A791" r:id="rId768" xr:uid="{D1492554-1CDD-4DDE-AC2F-EB1A2CD02F84}"/>
    <hyperlink ref="A792" r:id="rId769" xr:uid="{A1B18BD1-D8A8-479C-9CC0-48053A14629B}"/>
    <hyperlink ref="A793" r:id="rId770" xr:uid="{C9648A1D-F73F-4344-9C59-5AC70C35D47A}"/>
    <hyperlink ref="A794" r:id="rId771" xr:uid="{5DA7DF41-3A56-4DD0-9E4F-1DFCA397E0F2}"/>
    <hyperlink ref="A795" r:id="rId772" xr:uid="{1CDD390A-FB92-46B1-83BF-7DDD094801FC}"/>
    <hyperlink ref="A796" r:id="rId773" xr:uid="{7CE72EF6-D658-4779-B34E-A406D2D5ACDF}"/>
    <hyperlink ref="A797" r:id="rId774" xr:uid="{60D7AF5D-039A-4681-8210-ACFBF4758102}"/>
    <hyperlink ref="A798" r:id="rId775" xr:uid="{A31717C8-5FE5-4387-834F-1E7676AD8FBA}"/>
    <hyperlink ref="A799" r:id="rId776" xr:uid="{0F5B0DA5-F6C7-4EC8-9AC3-469D15A507F1}"/>
    <hyperlink ref="A800" r:id="rId777" xr:uid="{BA23FEF9-97DC-40EE-A695-F6F9FC59151B}"/>
    <hyperlink ref="A802" r:id="rId778" xr:uid="{6D0057D9-205B-4714-8F7D-A61B828DE399}"/>
    <hyperlink ref="A803" r:id="rId779" xr:uid="{5817E217-A098-4F45-8F14-A5BB72457D76}"/>
    <hyperlink ref="A804" r:id="rId780" xr:uid="{CB84D371-E6B4-483C-AF45-4A8A69BDE65E}"/>
    <hyperlink ref="A805" r:id="rId781" xr:uid="{7618214F-F8A4-4085-9E1F-B3557EB26B4B}"/>
    <hyperlink ref="A806" r:id="rId782" xr:uid="{2AF990AB-8D1F-4641-9E6E-A64C580B079C}"/>
    <hyperlink ref="A807" r:id="rId783" xr:uid="{E9189F54-D24D-4ECB-A7AC-FFD5AB4419F2}"/>
    <hyperlink ref="A809" r:id="rId784" xr:uid="{B5B18926-7B6A-4331-90EF-D80EEE721350}"/>
    <hyperlink ref="A810:A811" r:id="rId785" display="24-096" xr:uid="{1FC37084-B403-4999-8AB3-ACF59CC11291}"/>
    <hyperlink ref="A810" r:id="rId786" xr:uid="{453089AE-A76F-47AE-9B0F-FFD20FF60243}"/>
    <hyperlink ref="A811" r:id="rId787" xr:uid="{C223DE93-E2ED-4BE6-8C2D-1F4A0346A8D5}"/>
    <hyperlink ref="A812" r:id="rId788" xr:uid="{7793C913-A762-4074-90C0-2986862E96C2}"/>
    <hyperlink ref="A813" r:id="rId789" xr:uid="{A2B24D63-8BFB-4D2E-856D-51907852A62E}"/>
    <hyperlink ref="A814" r:id="rId790" display="24-101" xr:uid="{4EA22E4B-448B-4BFA-A104-FC39CB6C5A67}"/>
    <hyperlink ref="A815" r:id="rId791" xr:uid="{B02042CF-FC86-4200-9AF5-2978878BA2BD}"/>
    <hyperlink ref="A816" r:id="rId792" xr:uid="{5F9EC6F9-866A-4454-B4D1-B1FE09C1CC49}"/>
    <hyperlink ref="A823" r:id="rId793" xr:uid="{2D9E6357-FF41-468C-B470-F3CFB953A235}"/>
    <hyperlink ref="A824" r:id="rId794" xr:uid="{2DB71152-943F-4A54-8BF1-58E7EBA88D59}"/>
    <hyperlink ref="A825" r:id="rId795" xr:uid="{228D7D26-21C4-4701-88E0-5074E8E537D7}"/>
    <hyperlink ref="A826" r:id="rId796" xr:uid="{8554BB94-51F0-4C46-BCEA-6605AF441314}"/>
    <hyperlink ref="A827" r:id="rId797" xr:uid="{F86B9A72-5132-451F-8F3C-ADBFF88B3A89}"/>
    <hyperlink ref="A829" r:id="rId798" xr:uid="{17406760-FFE8-4D18-B905-A96D325BAF5E}"/>
    <hyperlink ref="A830" r:id="rId799" xr:uid="{22E247CE-F426-441F-ACF4-5EAA4DC641F9}"/>
    <hyperlink ref="A828" r:id="rId800" xr:uid="{E0AEB24E-C557-4611-B607-E4D7E759E34A}"/>
    <hyperlink ref="A831" r:id="rId801" xr:uid="{D5831800-0AF0-4B93-A1A7-8ECDBD6E217D}"/>
    <hyperlink ref="A832" r:id="rId802" xr:uid="{F6791784-8DC1-4B21-95EB-5134871D88D0}"/>
    <hyperlink ref="A833" r:id="rId803" xr:uid="{DAEA0067-88B6-4C6D-9F24-375EE71CBE34}"/>
    <hyperlink ref="A834" r:id="rId804" xr:uid="{0BA36C6C-5369-4094-A7AC-0909572AB5F0}"/>
    <hyperlink ref="A837" r:id="rId805" xr:uid="{DA2B674D-0843-4E7F-84CF-6376C25CA8FF}"/>
    <hyperlink ref="A838" r:id="rId806" xr:uid="{91C9F54A-0239-4F2B-964C-E9EC99116746}"/>
    <hyperlink ref="A836" r:id="rId807" xr:uid="{4962DE89-9B05-4A67-9082-D929DDE463D7}"/>
    <hyperlink ref="A835" r:id="rId808" xr:uid="{2EC9C0D3-F78B-473F-B4C2-316673BE9BE5}"/>
    <hyperlink ref="A839" r:id="rId809" xr:uid="{2A6599FE-6859-4FB1-92F7-5397C19B99BC}"/>
    <hyperlink ref="A840" r:id="rId810" xr:uid="{A5F825A5-6679-4554-B6A7-C590AB917CEB}"/>
    <hyperlink ref="A842" r:id="rId811" xr:uid="{7698A4FF-FA54-4B17-899B-1F448A2FDD5B}"/>
    <hyperlink ref="A843" r:id="rId812" xr:uid="{37B16B78-0626-4554-82D7-283DCEEFFA86}"/>
    <hyperlink ref="A845" r:id="rId813" xr:uid="{F3DA4839-90F3-4C27-9393-B38A8DBC12F3}"/>
    <hyperlink ref="A844" r:id="rId814" xr:uid="{E125F4BE-35C4-4BC8-87A5-50D31ADC5737}"/>
    <hyperlink ref="A846" r:id="rId815" xr:uid="{C6D931E8-C2EA-445F-BAF1-FC2E5139C90C}"/>
    <hyperlink ref="A847" r:id="rId816" xr:uid="{A59BB739-FDAD-4775-BB4A-6538DEE1EAB9}"/>
    <hyperlink ref="A849" r:id="rId817" xr:uid="{1DFDAD74-578B-4A96-8616-4155E916CF2E}"/>
    <hyperlink ref="A850" r:id="rId818" xr:uid="{BB8ED155-4A65-4D15-8709-30BA3D6D83FA}"/>
    <hyperlink ref="A852" r:id="rId819" xr:uid="{EB6F9CE8-4D78-42D1-87EB-514577743EEF}"/>
    <hyperlink ref="A853" r:id="rId820" xr:uid="{97205FC1-FF3D-4FF6-9379-49AC5825668A}"/>
    <hyperlink ref="A855" r:id="rId821" xr:uid="{BCC5A9D4-B83E-498A-BF1D-D173990E66AB}"/>
    <hyperlink ref="A857" r:id="rId822" display="24-142" xr:uid="{EDFC89AD-D299-4C41-82A1-D0D87DCB2984}"/>
    <hyperlink ref="A858" r:id="rId823" xr:uid="{F8F4CED3-1353-4753-BBC2-2FC6E194F007}"/>
    <hyperlink ref="A859" r:id="rId824" xr:uid="{FB19E6D2-571D-401C-B331-B34B32B78027}"/>
    <hyperlink ref="A860" r:id="rId825" xr:uid="{35325DDA-0B84-468F-9710-0825B50F5F48}"/>
    <hyperlink ref="A861" r:id="rId826" xr:uid="{8D3F3259-5D0F-479E-825C-881600059BE7}"/>
    <hyperlink ref="A851" r:id="rId827" xr:uid="{39F5735D-F34D-429B-A1F3-4AC82A62AC14}"/>
    <hyperlink ref="A863" r:id="rId828" xr:uid="{D2D4013E-55EC-4DB9-8094-6D31D27B83E7}"/>
    <hyperlink ref="A864" r:id="rId829" xr:uid="{12A00F53-F9EB-4DA7-B165-86410116D837}"/>
    <hyperlink ref="A865" r:id="rId830" xr:uid="{5E739F4A-80B7-47CD-8D49-CC3466102848}"/>
    <hyperlink ref="A866" r:id="rId831" xr:uid="{283D184A-5B51-4BFE-8112-061B2AC315A0}"/>
    <hyperlink ref="A841" r:id="rId832" xr:uid="{1542223A-0B0A-44F6-9D8B-197E95EE3988}"/>
    <hyperlink ref="A867" r:id="rId833" xr:uid="{AAB00EBC-5A0B-4D8B-905E-47132D5BB6CF}"/>
    <hyperlink ref="A868" r:id="rId834" xr:uid="{EE6D2B11-CEB8-4E3D-A876-E280914BB640}"/>
    <hyperlink ref="A869" r:id="rId835" xr:uid="{3DF958B7-48A0-4805-BE74-EDF4963C68FA}"/>
    <hyperlink ref="A871" r:id="rId836" xr:uid="{34DB4F8C-D2C1-4D20-A3CA-5D0FEE78E2D7}"/>
    <hyperlink ref="A873" r:id="rId837" xr:uid="{6F03A333-CE26-4993-AE09-C29553E183D0}"/>
    <hyperlink ref="A876" r:id="rId838" xr:uid="{85C5C48E-D5F3-4E3D-A128-D27BB798660F}"/>
    <hyperlink ref="A877" r:id="rId839" xr:uid="{2F686CAB-5481-41F0-A11B-830F8DA738EE}"/>
    <hyperlink ref="A878" r:id="rId840" xr:uid="{BE219DDE-3CD8-41B0-AC8A-E4EA047224AF}"/>
    <hyperlink ref="A879" r:id="rId841" xr:uid="{2669F394-B787-4989-8B67-FC0C27885DE2}"/>
    <hyperlink ref="A880" r:id="rId842" xr:uid="{344A097B-42FA-401D-8C4A-BFB944258BDD}"/>
    <hyperlink ref="A881" r:id="rId843" xr:uid="{0D539B24-4732-4171-91D0-1B7EA343FDC8}"/>
    <hyperlink ref="A882" r:id="rId844" xr:uid="{13106527-1AE9-48CB-8A10-3C081F7248C5}"/>
    <hyperlink ref="A884" r:id="rId845" xr:uid="{EC3642B6-679C-43E4-BD68-2615C6521776}"/>
    <hyperlink ref="A885" r:id="rId846" xr:uid="{47282815-BD29-477D-8A5A-5BDF525ED2BC}"/>
    <hyperlink ref="A875" r:id="rId847" xr:uid="{06731C2A-2098-4D8A-81C0-08D2D247A6C5}"/>
    <hyperlink ref="A874" r:id="rId848" xr:uid="{74AAC631-073E-4A3E-A475-23E51077FF82}"/>
    <hyperlink ref="A886" r:id="rId849" xr:uid="{FBAC77E8-6A37-4F21-BE08-59FEFA3ACECA}"/>
    <hyperlink ref="A887" r:id="rId850" xr:uid="{E22A8CB4-D946-423F-9B8F-40E9B50270F0}"/>
    <hyperlink ref="A888" r:id="rId851" xr:uid="{DA1E5C03-36DF-476A-8E20-497C7E303009}"/>
    <hyperlink ref="A889" r:id="rId852" xr:uid="{E840A582-B402-4AFA-A0F4-9B7421534643}"/>
    <hyperlink ref="A890" r:id="rId853" xr:uid="{0AE898B2-CA09-45E5-8B64-FAF92206E9D8}"/>
    <hyperlink ref="A891" r:id="rId854" xr:uid="{703544D1-DAC1-449C-BB31-204A0C045214}"/>
    <hyperlink ref="A892" r:id="rId855" xr:uid="{EE92B7D5-31CF-418B-AB55-45B76D0F1E24}"/>
    <hyperlink ref="A893" r:id="rId856" xr:uid="{8A1A413F-9B9E-4339-A24A-6B3D1BD032AE}"/>
    <hyperlink ref="A894" r:id="rId857" xr:uid="{73C8F58E-E6A6-447E-BB88-57C10312D8B1}"/>
    <hyperlink ref="A895" r:id="rId858" xr:uid="{D242DEE7-ACD5-4E3F-868B-E0982469B62D}"/>
    <hyperlink ref="A896" r:id="rId859" xr:uid="{17FD890C-BA22-470E-9504-9766DD41B0AA}"/>
    <hyperlink ref="A899" r:id="rId860" xr:uid="{F0F8195E-440F-47AF-9C2D-348692B16C33}"/>
    <hyperlink ref="A900" r:id="rId861" xr:uid="{DF0C6A39-591E-4D4F-8542-772233F2E85C}"/>
    <hyperlink ref="A901" r:id="rId862" xr:uid="{AC35E755-8638-465F-8D16-CDE37F43958A}"/>
    <hyperlink ref="A902" r:id="rId863" xr:uid="{E876A5C5-13F4-4873-A36D-7F5B65A32DEA}"/>
    <hyperlink ref="A904" r:id="rId864" xr:uid="{324B7AB7-F292-4B38-964C-6E04089D86B3}"/>
    <hyperlink ref="A903" r:id="rId865" xr:uid="{808EDB17-5F44-4141-9D97-C450DDD8F71F}"/>
    <hyperlink ref="A905" r:id="rId866" xr:uid="{F53A5CFF-1378-4698-A897-47B4F18F39E4}"/>
    <hyperlink ref="A906" r:id="rId867" xr:uid="{20B5D63E-6060-4617-A491-843BE93E267A}"/>
    <hyperlink ref="A907" r:id="rId868" xr:uid="{298FB7AB-3816-42A3-B689-0E0604C0F8D7}"/>
    <hyperlink ref="A908" r:id="rId869" xr:uid="{E31E02B2-7C4F-4E4E-AA1A-21B157590E3B}"/>
    <hyperlink ref="A909" r:id="rId870" xr:uid="{1E16B556-93DA-4F68-B226-F25732F3B99F}"/>
    <hyperlink ref="A910" r:id="rId871" xr:uid="{B83E895A-CCF7-4E0B-AE8A-9505DCFED3A3}"/>
    <hyperlink ref="A911" r:id="rId872" xr:uid="{606620A1-8308-48E2-B052-58FB8BCCCF54}"/>
    <hyperlink ref="A912" r:id="rId873" xr:uid="{3418D680-02E0-4B0F-8800-14CF8B393ED7}"/>
    <hyperlink ref="A913" r:id="rId874" xr:uid="{2E5DCEBB-AA77-403D-9728-5F18B654E228}"/>
    <hyperlink ref="A914" r:id="rId875" xr:uid="{A100ABAA-575C-4598-90A9-D21790EF745E}"/>
    <hyperlink ref="A916" r:id="rId876" xr:uid="{C1C1BDB9-024D-47FA-A9A5-A0FEE4DDA89E}"/>
    <hyperlink ref="A915" r:id="rId877" xr:uid="{479BA37C-4743-4409-A5A5-E24BB001F6E4}"/>
    <hyperlink ref="A917" r:id="rId878" xr:uid="{B6882DD1-E44D-42C4-8231-72232B47977F}"/>
    <hyperlink ref="A918" r:id="rId879" xr:uid="{C4087FE9-2B6F-4D6E-A11A-C8100383A770}"/>
    <hyperlink ref="A919" r:id="rId880" display="26-024" xr:uid="{05B80024-9FC8-44A5-AE35-A2D2BCB02B20}"/>
    <hyperlink ref="A920" r:id="rId881" xr:uid="{870C57A3-92E8-43E7-AC29-513AC4B246E4}"/>
    <hyperlink ref="A922" r:id="rId882" xr:uid="{1033EDF6-A2D6-49CA-BC9F-9F72315B1A15}"/>
    <hyperlink ref="A923" r:id="rId883" xr:uid="{608044E8-006A-42D8-9985-9B91A4DE5E33}"/>
    <hyperlink ref="A924" r:id="rId884" xr:uid="{F0F2C572-11CC-4574-A24B-2213D8DAAD6A}"/>
    <hyperlink ref="A925" r:id="rId885" xr:uid="{E96B445A-3D63-4B18-B112-F64AB54744C8}"/>
    <hyperlink ref="A926" r:id="rId886" xr:uid="{F41C56B7-644E-47A8-9FA3-9295010D1380}"/>
    <hyperlink ref="A927" r:id="rId887" xr:uid="{F4D75617-7EC9-4AFD-BBC4-EC12CB9931B5}"/>
    <hyperlink ref="A929" r:id="rId888" xr:uid="{C5723419-B06A-4D8F-8A8E-AF4EEADA2A8E}"/>
    <hyperlink ref="A930" r:id="rId889" xr:uid="{8FD8A5EB-C103-4E1D-9CA1-637C119910C1}"/>
    <hyperlink ref="A931" r:id="rId890" xr:uid="{BB5FDB46-964A-41A7-9063-49D560E2187E}"/>
    <hyperlink ref="A932" r:id="rId891" xr:uid="{F36F40A7-91C1-44DF-B612-075171EFD88B}"/>
    <hyperlink ref="A933" r:id="rId892" xr:uid="{A22C994C-59C1-4E04-AFCB-382A46E32E8E}"/>
    <hyperlink ref="A934" r:id="rId893" xr:uid="{46C5805D-003E-4E87-8413-688BCDE234DE}"/>
    <hyperlink ref="A935" r:id="rId894" xr:uid="{46A7A042-CEDC-4818-A1CC-6303EA710B9B}"/>
    <hyperlink ref="A937" r:id="rId895" xr:uid="{4378ADD9-86C2-40F8-958A-A61C03BDDB0C}"/>
    <hyperlink ref="A938" r:id="rId896" xr:uid="{2F441271-25E8-4315-BA49-A523D0B5F74C}"/>
    <hyperlink ref="A939" r:id="rId897" xr:uid="{5011A088-F287-4D90-8517-8B0A844949BA}"/>
    <hyperlink ref="A940" r:id="rId898" xr:uid="{8FCB4E9C-AF31-4677-8C09-6B7F63916551}"/>
    <hyperlink ref="A942" r:id="rId899" xr:uid="{98A33F15-D078-43AE-B653-882AB5B3C04B}"/>
    <hyperlink ref="A943" r:id="rId900" xr:uid="{B49A787B-61E3-46AF-A8EF-464773E83A54}"/>
    <hyperlink ref="A944" r:id="rId901" xr:uid="{668A7730-3685-4433-A48B-5277EDD90E09}"/>
    <hyperlink ref="A945" r:id="rId902" xr:uid="{C7EBB91C-7732-4576-9746-9696F6EF597A}"/>
    <hyperlink ref="A946" r:id="rId903" xr:uid="{1198C7F7-0D29-408B-828E-117DE24EFAE1}"/>
    <hyperlink ref="A947" r:id="rId904" xr:uid="{8E87D61B-5C3B-48FA-BECB-014DE4A82AB0}"/>
    <hyperlink ref="A948" r:id="rId905" xr:uid="{2325BE02-B349-427C-BD3E-4587A02F193C}"/>
    <hyperlink ref="A949" r:id="rId906" xr:uid="{B66361D2-E6EC-4FB7-9B71-F82D57B6E26D}"/>
    <hyperlink ref="A950" r:id="rId907" xr:uid="{C06A6F86-E41B-4170-A9D9-F68E8D8A1C64}"/>
    <hyperlink ref="A951" r:id="rId908" display="25-056 " xr:uid="{47512CFE-D196-44DC-BDCC-439715D8078A}"/>
    <hyperlink ref="A952" r:id="rId909" xr:uid="{64F5CC11-08C4-4DE4-B461-D1168910E941}"/>
    <hyperlink ref="A953" r:id="rId910" xr:uid="{888E0958-504A-40B1-B18D-17883F754215}"/>
    <hyperlink ref="A954" r:id="rId911" xr:uid="{4705C3AA-C45E-42C4-AD00-6F411012AE3F}"/>
    <hyperlink ref="A955" r:id="rId912" xr:uid="{4B5C0B27-F0BC-4E9F-85E0-B3213FC65BC8}"/>
    <hyperlink ref="A956" r:id="rId913" xr:uid="{464A0DEF-2A80-435B-8995-821AB19530E5}"/>
    <hyperlink ref="A957" r:id="rId914" xr:uid="{9D1D2D03-3C78-4227-AD9A-DD1AC5A259D3}"/>
    <hyperlink ref="A958" r:id="rId915" xr:uid="{267CBCC2-CD9D-41B1-B7DE-39FF09F45CEB}"/>
    <hyperlink ref="A959" r:id="rId916" xr:uid="{B40B7FE5-F9CF-432B-B838-B52A4C9B52A6}"/>
    <hyperlink ref="A960" r:id="rId917" xr:uid="{B0536C36-CA00-48CE-9EA5-F2D818FD80F2}"/>
    <hyperlink ref="A961" r:id="rId918" xr:uid="{52392FB7-F924-45B7-877C-DC27FE9930D9}"/>
    <hyperlink ref="A962" r:id="rId919" xr:uid="{925CE2A0-2FC2-4075-9CAA-DA905EB81BCA}"/>
    <hyperlink ref="A963" r:id="rId920" xr:uid="{41AA6944-3D80-4F8B-9442-2C60E469F942}"/>
    <hyperlink ref="A964" r:id="rId921" xr:uid="{599889A0-C7F9-4A1C-A467-23AF82D6B314}"/>
    <hyperlink ref="A965" r:id="rId922" xr:uid="{9F51E6B0-EC17-4BC5-8869-70F9F4F5A853}"/>
    <hyperlink ref="A966" r:id="rId923" xr:uid="{08D47E65-B145-4075-B0E8-0E03D8B896A7}"/>
    <hyperlink ref="A967" r:id="rId924" xr:uid="{5451318B-9CF6-48DF-A54C-0F5A57EBE332}"/>
    <hyperlink ref="A968" r:id="rId925" xr:uid="{3BF4C83B-5E70-4A9B-B162-DF6FA5305C3E}"/>
    <hyperlink ref="A970" r:id="rId926" xr:uid="{C9BA56C5-653E-4434-812E-7BFCD9C7C290}"/>
    <hyperlink ref="A969" r:id="rId927" xr:uid="{6D4F1970-169D-4358-A576-D862CCC52C9D}"/>
    <hyperlink ref="A971" r:id="rId928" xr:uid="{5F4B3C89-6073-43FD-8D8D-C669369AFEA6}"/>
    <hyperlink ref="A972" r:id="rId929" xr:uid="{49437D22-2AF1-4D5F-86AB-3383CB9B0AC8}"/>
    <hyperlink ref="A973" r:id="rId930" xr:uid="{98FF46E0-2264-4450-82D5-6E04AC4FB48A}"/>
    <hyperlink ref="A974" r:id="rId931" xr:uid="{AC234AF8-2AE0-42A3-BC43-2A471271535B}"/>
    <hyperlink ref="A975" r:id="rId932" xr:uid="{831784BA-ECBF-440E-AD7D-44AF6B047345}"/>
    <hyperlink ref="A976" r:id="rId933" xr:uid="{493FBD77-AD87-4EAB-92E7-B023BE745292}"/>
    <hyperlink ref="A977" r:id="rId934" xr:uid="{E3A14B2A-16DC-4BCD-AF2A-6456A54738EC}"/>
    <hyperlink ref="A978" r:id="rId935" xr:uid="{4C80C12D-F193-49AE-B616-3A59E5D90C39}"/>
    <hyperlink ref="A979" r:id="rId936" xr:uid="{7DA22CA4-1BFA-43D7-ACA0-B35D2FDFE32D}"/>
    <hyperlink ref="A980" r:id="rId937" xr:uid="{0298F665-1086-4209-8DAE-BCD08B697C71}"/>
    <hyperlink ref="A981" r:id="rId938" xr:uid="{69E0E124-8556-4CFE-964C-1EC4175C2E2A}"/>
    <hyperlink ref="A982" r:id="rId939" xr:uid="{91552821-FFDD-4A6A-B24A-26227665EA1B}"/>
    <hyperlink ref="A983" r:id="rId940" xr:uid="{F74354C8-96F1-4ECB-87A2-6A984E8905E2}"/>
    <hyperlink ref="A985" r:id="rId941" xr:uid="{FE5E2D19-181D-4E8E-9C50-FD86BFAB6A94}"/>
    <hyperlink ref="A986" r:id="rId942" xr:uid="{1537176B-541D-4C42-B5B6-79C3390F9993}"/>
    <hyperlink ref="A988" r:id="rId943" xr:uid="{7E2F8F76-A64B-4569-A6E6-2163776D570B}"/>
    <hyperlink ref="A989" r:id="rId944" xr:uid="{C4677D60-8D58-4D90-97C1-503221309D15}"/>
    <hyperlink ref="A990" r:id="rId945" xr:uid="{4789F7EE-7040-4594-971B-7F7FF144AFD8}"/>
    <hyperlink ref="A992" r:id="rId946" xr:uid="{6FE655BD-6163-4993-903B-936732051506}"/>
    <hyperlink ref="A987" r:id="rId947" xr:uid="{47116568-1E59-4A15-8858-28A548FDB28D}"/>
    <hyperlink ref="A991" r:id="rId948" xr:uid="{8282BD18-6DD2-405C-B8C5-E149C9FCA4C5}"/>
    <hyperlink ref="A994" r:id="rId949" xr:uid="{FB59D0D9-93C6-4771-90BF-6311A6B63B42}"/>
    <hyperlink ref="A995" r:id="rId950" xr:uid="{B0329506-0952-47A1-8036-9A71D434BA49}"/>
    <hyperlink ref="A997" r:id="rId951" xr:uid="{00316430-40C5-46AE-8D49-4C736B6943FD}"/>
    <hyperlink ref="A998" r:id="rId952" xr:uid="{61C4DB82-6F91-485F-A120-4366971F3A4A}"/>
    <hyperlink ref="A999" r:id="rId953" xr:uid="{33AE5EA1-0888-4C86-94D3-061CE22ED2D6}"/>
    <hyperlink ref="A1000" r:id="rId954" xr:uid="{11C697F6-F358-4AC3-96F0-228D55363A26}"/>
    <hyperlink ref="A1001" r:id="rId955" xr:uid="{59E96467-2D73-4E7C-9FB5-8666B3F33A63}"/>
    <hyperlink ref="A1003" r:id="rId956" xr:uid="{9FFA8F83-E576-406C-A016-C4ED7EBA50F2}"/>
    <hyperlink ref="A1002" r:id="rId957" xr:uid="{E6AAE80D-FCCC-4262-88E7-20B22F4090EF}"/>
    <hyperlink ref="A1004" r:id="rId958" xr:uid="{48D783D4-F155-4D50-AE98-626D81BC40B2}"/>
    <hyperlink ref="A1005" r:id="rId959" xr:uid="{1830E694-2DC7-4791-B8A9-B02B96FC1B05}"/>
    <hyperlink ref="A1006" r:id="rId960" xr:uid="{B1E01A08-6934-4B74-9721-97E476595BD4}"/>
    <hyperlink ref="A1007" r:id="rId961" xr:uid="{1424F902-0AF7-49A6-AFA7-04D7D07BE300}"/>
    <hyperlink ref="A1008" r:id="rId962" xr:uid="{6A1B6EB6-BEE5-4DC0-B202-B32F4EF6E0BF}"/>
    <hyperlink ref="A1009" r:id="rId963" xr:uid="{B0C14F47-2E7C-45CF-BDEC-15B5DC0D1436}"/>
    <hyperlink ref="A1012" r:id="rId964" xr:uid="{3113C2CC-DA25-4541-A477-29607644F855}"/>
    <hyperlink ref="A1013" r:id="rId965" xr:uid="{9A7E225A-C7E3-4732-A077-21E0D2679509}"/>
    <hyperlink ref="A1014" r:id="rId966" xr:uid="{D2047245-A3A5-4C06-A589-5282737317F1}"/>
    <hyperlink ref="A1015" r:id="rId967" xr:uid="{0F9457E2-935C-4165-A4D0-A5F9FFB57E2A}"/>
    <hyperlink ref="A1016" r:id="rId968" xr:uid="{DA429055-4F18-4C7D-AC6D-D57BB9A56428}"/>
    <hyperlink ref="A1018" r:id="rId969" xr:uid="{C2B9AF0E-BAC6-4671-918B-355782BC3695}"/>
    <hyperlink ref="A1019" r:id="rId970" xr:uid="{80FEEB65-3105-42F7-91D8-A8023402CCEB}"/>
    <hyperlink ref="A1020" r:id="rId971" xr:uid="{E9A9AB47-0E9F-4F9F-A9A8-788156E13217}"/>
    <hyperlink ref="A1021" r:id="rId972" xr:uid="{BDDCE224-3EC2-44D0-BD90-644B451B0D7E}"/>
    <hyperlink ref="A1022" r:id="rId973" xr:uid="{B24F5D76-19A7-48A8-BD96-503E85B7846A}"/>
    <hyperlink ref="A1023" r:id="rId974" xr:uid="{B54FF66B-1CD1-443C-A89E-9F38171203B7}"/>
    <hyperlink ref="A1026" r:id="rId975" xr:uid="{F007C454-4653-42EF-AC7B-A3B0D470FCB1}"/>
    <hyperlink ref="A1027" r:id="rId976" xr:uid="{29B3D9C8-FF71-424C-A745-43BB14647614}"/>
    <hyperlink ref="A1028" r:id="rId977" xr:uid="{0A4DB15E-0A01-4815-A2FF-35268691E867}"/>
    <hyperlink ref="A1030" r:id="rId978" xr:uid="{94CE35CD-6AD2-4D02-AC19-8D2F26AE0287}"/>
    <hyperlink ref="A1031" r:id="rId979" xr:uid="{4D72EB7A-B7C7-40A6-A673-1308941757E5}"/>
    <hyperlink ref="A1032" r:id="rId980" xr:uid="{31792EDC-8FD6-4F19-9718-8D9C2FD0CF16}"/>
    <hyperlink ref="A1033" r:id="rId981" xr:uid="{CE0439AD-CA37-41E3-94BB-A6A0702C9D2B}"/>
    <hyperlink ref="A1034" r:id="rId982" xr:uid="{883D8276-CCD7-408D-9522-80870AAA7A69}"/>
    <hyperlink ref="A1035" r:id="rId983" xr:uid="{291ACC38-D9B1-45E3-B425-762A0EB2E0C5}"/>
    <hyperlink ref="A1036:A1037" r:id="rId984" display="25-139" xr:uid="{F4714A9C-46BC-43C9-BD60-FB0C2B598AF6}"/>
    <hyperlink ref="A1036" r:id="rId985" xr:uid="{58B7AFA6-A5DF-416C-888D-C371E78E2535}"/>
    <hyperlink ref="A1037" r:id="rId986" xr:uid="{F063B8E6-03F7-45A0-92A9-2052FDD07638}"/>
    <hyperlink ref="A1038" r:id="rId987" xr:uid="{6B20118A-06C7-4292-A559-53694BF96AAE}"/>
    <hyperlink ref="A1025" r:id="rId988" xr:uid="{7190ABA3-6171-4EB7-A57B-0D91CDB66594}"/>
    <hyperlink ref="A1041" r:id="rId989" xr:uid="{0E66F4F1-0654-48DD-AB0B-80419AFC7CFC}"/>
    <hyperlink ref="A1040" r:id="rId990" xr:uid="{CA5461CE-AB16-4780-8382-19F8A542CF46}"/>
    <hyperlink ref="A1043" r:id="rId991" xr:uid="{973D14D0-D4BB-4FC2-903D-C45BE1CC23E1}"/>
    <hyperlink ref="A1044" r:id="rId992" xr:uid="{8EA2795E-7CDE-4F5B-B109-2D00B480BEC1}"/>
    <hyperlink ref="A1045" r:id="rId993" xr:uid="{D307DAF6-A9A6-4D0B-8E31-975DB787CE91}"/>
    <hyperlink ref="A1046" r:id="rId994" xr:uid="{53202B35-EC02-4072-A83B-0ABBA02B1C2A}"/>
    <hyperlink ref="A1048" r:id="rId995" xr:uid="{EDD873A5-BF9F-49F2-A094-0E470DB876EA}"/>
    <hyperlink ref="A1054" r:id="rId996" xr:uid="{430154D2-1F5A-4CC2-AF23-CD889FCD36D9}"/>
    <hyperlink ref="A1055" r:id="rId997" xr:uid="{0B98B60B-7E73-44E4-8319-6C38E3357640}"/>
    <hyperlink ref="A1056" r:id="rId998" xr:uid="{068AFB3D-F3E1-47BB-9D80-C7E11302BCA5}"/>
    <hyperlink ref="A1057" r:id="rId999" xr:uid="{DCF8F2C4-0779-4499-B0DC-8C69B6F80337}"/>
    <hyperlink ref="A1058" r:id="rId1000" xr:uid="{E18A750C-0778-4B3C-AA40-5303C4B51F7E}"/>
    <hyperlink ref="A1059" r:id="rId1001" xr:uid="{2403B1FA-A1AD-4B50-97BC-340D4F1A924C}"/>
    <hyperlink ref="A1060" r:id="rId1002" xr:uid="{3A5E15E7-9DC3-498F-9411-60D802DD5142}"/>
    <hyperlink ref="A1063" r:id="rId1003" xr:uid="{EA95D517-CFA9-4FFF-BD9E-1C977B888073}"/>
    <hyperlink ref="A1064" r:id="rId1004" xr:uid="{2557DABF-6554-43F1-98CC-CBEDD1A2FBD8}"/>
    <hyperlink ref="A1067" r:id="rId1005" xr:uid="{A89E0B0B-F625-44DE-841A-2D109AA75945}"/>
    <hyperlink ref="A1068" r:id="rId1006" xr:uid="{D99B8894-40CB-4EF2-855F-EC7BF0083C73}"/>
    <hyperlink ref="A1067:A1068" r:id="rId1007" display="25-172" xr:uid="{70D3CCCA-8650-46D3-B872-A9C7E0F4B249}"/>
    <hyperlink ref="A1069" r:id="rId1008" xr:uid="{3D5073F6-196A-40B9-9CF9-1B19E943628C}"/>
    <hyperlink ref="A1070" r:id="rId1009" xr:uid="{ADE20DE5-4F65-45C4-A6E9-90FBD0DFFB05}"/>
    <hyperlink ref="A1071" r:id="rId1010" xr:uid="{62A47504-3F6B-4C60-856C-6F4705C77B85}"/>
    <hyperlink ref="A1062" r:id="rId1011" xr:uid="{F4E73604-E2DD-47A9-A99C-3A201AC990EE}"/>
  </hyperlinks>
  <pageMargins left="0.70866141732283472" right="0.70866141732283472" top="0.74803149606299213" bottom="0.74803149606299213" header="0.31496062992125984" footer="0.31496062992125984"/>
  <pageSetup scale="20" fitToHeight="0" orientation="landscape" r:id="rId1012"/>
  <customProperties>
    <customPr name="PolyworksSheetId" r:id="rId1013"/>
  </customProperties>
  <drawing r:id="rId1014"/>
  <legacyDrawing r:id="rId1015"/>
  <tableParts count="1">
    <tablePart r:id="rId1016"/>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3000000}">
          <x14:formula1>
            <xm:f>Lists!$C$3:$C$38</xm:f>
          </x14:formula1>
          <xm:sqref>G3:G27 G29:G107 G109:G256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DA3AC-32C0-4811-8C2A-D0E714F1618E}">
  <sheetPr>
    <tabColor rgb="FFFFFF00"/>
    <pageSetUpPr fitToPage="1"/>
  </sheetPr>
  <dimension ref="A1:P65"/>
  <sheetViews>
    <sheetView tabSelected="1" view="pageLayout" topLeftCell="A11" zoomScaleNormal="85" zoomScaleSheetLayoutView="70" workbookViewId="0">
      <selection activeCell="E9" sqref="E9:G12"/>
    </sheetView>
  </sheetViews>
  <sheetFormatPr defaultRowHeight="15"/>
  <cols>
    <col min="2" max="2" width="14.7109375" customWidth="1"/>
    <col min="3" max="3" width="28.5703125" customWidth="1"/>
    <col min="4" max="4" width="27.28515625" customWidth="1"/>
    <col min="5" max="5" width="25.85546875" customWidth="1"/>
    <col min="6" max="6" width="24" customWidth="1"/>
    <col min="7" max="7" width="24.85546875" customWidth="1"/>
    <col min="8" max="8" width="15" customWidth="1"/>
  </cols>
  <sheetData>
    <row r="1" spans="1:16" ht="24" customHeight="1" thickTop="1" thickBot="1">
      <c r="C1" s="245" t="str">
        <f>VLOOKUP($G$1,'2025'!A3:T2014,4)</f>
        <v>Quality Alert</v>
      </c>
      <c r="D1" s="245"/>
      <c r="E1" s="245"/>
      <c r="F1" s="16" t="s">
        <v>4027</v>
      </c>
      <c r="G1" s="52" t="s">
        <v>4025</v>
      </c>
      <c r="I1" s="237" t="s">
        <v>4028</v>
      </c>
      <c r="J1" s="238"/>
      <c r="K1" s="239"/>
    </row>
    <row r="2" spans="1:16" ht="18" customHeight="1" thickTop="1" thickBot="1">
      <c r="C2" s="245"/>
      <c r="D2" s="245"/>
      <c r="E2" s="245"/>
      <c r="F2" s="16"/>
      <c r="G2" s="35"/>
      <c r="I2" s="240"/>
      <c r="J2" s="241"/>
      <c r="K2" s="242"/>
    </row>
    <row r="3" spans="1:16" s="39" customFormat="1" ht="19.149999999999999" customHeight="1" thickBot="1">
      <c r="A3" s="246" t="s">
        <v>4029</v>
      </c>
      <c r="B3" s="246"/>
      <c r="C3" s="243"/>
      <c r="D3" s="243"/>
      <c r="E3" s="36" t="s">
        <v>4030</v>
      </c>
      <c r="F3" s="60"/>
      <c r="G3" s="38"/>
    </row>
    <row r="4" spans="1:16" s="39" customFormat="1" ht="19.149999999999999" customHeight="1">
      <c r="A4" s="246" t="s">
        <v>4031</v>
      </c>
      <c r="B4" s="246"/>
      <c r="C4" s="243"/>
      <c r="D4" s="243"/>
      <c r="E4" s="36" t="s">
        <v>4032</v>
      </c>
      <c r="F4" s="230"/>
      <c r="G4" s="38"/>
      <c r="I4" s="237" t="s">
        <v>4033</v>
      </c>
      <c r="J4" s="238"/>
      <c r="K4" s="239"/>
    </row>
    <row r="5" spans="1:16" s="39" customFormat="1" ht="19.149999999999999" customHeight="1" thickBot="1">
      <c r="A5" s="246" t="s">
        <v>4034</v>
      </c>
      <c r="B5" s="246"/>
      <c r="C5" s="243"/>
      <c r="D5" s="243"/>
      <c r="E5" s="36" t="s">
        <v>4035</v>
      </c>
      <c r="F5" s="230"/>
      <c r="G5" s="38"/>
      <c r="I5" s="240"/>
      <c r="J5" s="241"/>
      <c r="K5" s="242"/>
    </row>
    <row r="6" spans="1:16" s="39" customFormat="1" ht="39" customHeight="1">
      <c r="A6" s="44"/>
      <c r="B6" s="36" t="s">
        <v>4036</v>
      </c>
      <c r="C6" s="243"/>
      <c r="D6" s="243"/>
      <c r="E6" s="36" t="s">
        <v>4037</v>
      </c>
      <c r="F6" s="243"/>
      <c r="G6" s="243"/>
    </row>
    <row r="7" spans="1:16" ht="6" customHeight="1" thickBot="1">
      <c r="B7" s="244"/>
      <c r="C7" s="244"/>
      <c r="D7" s="244"/>
      <c r="E7" s="244"/>
      <c r="F7" s="244"/>
      <c r="G7" s="11"/>
      <c r="I7" s="49"/>
    </row>
    <row r="8" spans="1:16" ht="16.149999999999999" customHeight="1" thickBot="1">
      <c r="A8" s="260" t="s">
        <v>4038</v>
      </c>
      <c r="B8" s="261"/>
      <c r="C8" s="261"/>
      <c r="D8" s="262"/>
      <c r="E8" s="266" t="s">
        <v>4039</v>
      </c>
      <c r="F8" s="267"/>
      <c r="G8" s="268"/>
    </row>
    <row r="9" spans="1:16" ht="76.900000000000006" customHeight="1">
      <c r="A9" s="263" t="str">
        <f>VLOOKUP($G$1,'2025'!A3:T2014,12)</f>
        <v>undercut grind were were welds stop on blocks
       lack of fusion base metal</v>
      </c>
      <c r="B9" s="264"/>
      <c r="C9" s="264"/>
      <c r="D9" s="265"/>
      <c r="E9" s="273"/>
      <c r="F9" s="274"/>
      <c r="G9" s="275"/>
      <c r="I9" s="237" t="s">
        <v>4040</v>
      </c>
      <c r="J9" s="238"/>
      <c r="K9" s="239"/>
      <c r="P9" s="64"/>
    </row>
    <row r="10" spans="1:16" ht="76.900000000000006" customHeight="1">
      <c r="A10" s="263"/>
      <c r="B10" s="264"/>
      <c r="C10" s="264"/>
      <c r="D10" s="265"/>
      <c r="E10" s="276"/>
      <c r="F10" s="277"/>
      <c r="G10" s="278"/>
      <c r="I10" s="240"/>
      <c r="J10" s="241"/>
      <c r="K10" s="242"/>
    </row>
    <row r="11" spans="1:16" ht="96" customHeight="1">
      <c r="A11" s="263"/>
      <c r="B11" s="264"/>
      <c r="C11" s="264"/>
      <c r="D11" s="265"/>
      <c r="E11" s="276"/>
      <c r="F11" s="277"/>
      <c r="G11" s="278"/>
    </row>
    <row r="12" spans="1:16" ht="95.25" customHeight="1">
      <c r="A12" s="263"/>
      <c r="B12" s="264"/>
      <c r="C12" s="264"/>
      <c r="D12" s="265"/>
      <c r="E12" s="279"/>
      <c r="F12" s="280"/>
      <c r="G12" s="281"/>
    </row>
    <row r="13" spans="1:16" ht="21.2" customHeight="1" thickBot="1">
      <c r="A13" s="282" t="s">
        <v>4041</v>
      </c>
      <c r="B13" s="271"/>
      <c r="C13" s="271"/>
      <c r="D13" s="283"/>
      <c r="E13" s="270" t="s">
        <v>4081</v>
      </c>
      <c r="F13" s="271"/>
      <c r="G13" s="272"/>
    </row>
    <row r="14" spans="1:16" ht="20.25" customHeight="1" thickBot="1">
      <c r="A14" s="284" t="s">
        <v>4083</v>
      </c>
      <c r="B14" s="285"/>
      <c r="C14" s="285"/>
      <c r="D14" s="286"/>
      <c r="E14" s="293" t="s">
        <v>4082</v>
      </c>
      <c r="F14" s="294"/>
      <c r="G14" s="295"/>
    </row>
    <row r="15" spans="1:16" ht="20.25" customHeight="1" thickBot="1">
      <c r="A15" s="287"/>
      <c r="B15" s="288"/>
      <c r="C15" s="288"/>
      <c r="D15" s="289"/>
      <c r="E15" s="293" t="s">
        <v>4082</v>
      </c>
      <c r="F15" s="294"/>
      <c r="G15" s="295"/>
    </row>
    <row r="16" spans="1:16" ht="20.25" customHeight="1" thickBot="1">
      <c r="A16" s="287"/>
      <c r="B16" s="288"/>
      <c r="C16" s="288"/>
      <c r="D16" s="289"/>
      <c r="E16" s="293" t="s">
        <v>4082</v>
      </c>
      <c r="F16" s="294"/>
      <c r="G16" s="295"/>
    </row>
    <row r="17" spans="1:7" ht="30.6" customHeight="1" thickBot="1">
      <c r="A17" s="290" t="e" vm="1">
        <v>#VALUE!</v>
      </c>
      <c r="B17" s="291"/>
      <c r="C17" s="291"/>
      <c r="D17" s="291"/>
      <c r="E17" s="291"/>
      <c r="F17" s="291"/>
      <c r="G17" s="292"/>
    </row>
    <row r="18" spans="1:7" ht="15.75" hidden="1" thickBot="1">
      <c r="B18" s="10"/>
      <c r="C18" s="10"/>
      <c r="D18" s="10"/>
      <c r="E18" s="10"/>
      <c r="F18" s="10"/>
      <c r="G18" s="43" t="s">
        <v>4043</v>
      </c>
    </row>
    <row r="19" spans="1:7" ht="27" customHeight="1" thickBot="1">
      <c r="C19" s="61" t="str">
        <f>VLOOKUP($G$1,'2025'!A3:T2014,4)</f>
        <v>Quality Alert</v>
      </c>
      <c r="D19" s="269" t="s">
        <v>4044</v>
      </c>
      <c r="E19" s="269"/>
      <c r="F19" s="16" t="s">
        <v>4027</v>
      </c>
      <c r="G19" s="63" t="str">
        <f>G1</f>
        <v>25-176</v>
      </c>
    </row>
    <row r="20" spans="1:7" ht="24" customHeight="1" thickBot="1">
      <c r="B20" s="34"/>
      <c r="C20" s="62"/>
      <c r="D20" s="62"/>
      <c r="E20" s="61"/>
      <c r="F20" s="16"/>
      <c r="G20" s="32"/>
    </row>
    <row r="21" spans="1:7" ht="18" customHeight="1" thickBot="1">
      <c r="B21" s="251" t="s">
        <v>4045</v>
      </c>
      <c r="C21" s="252"/>
      <c r="D21" s="13" t="s">
        <v>4046</v>
      </c>
      <c r="E21" s="251" t="s">
        <v>4047</v>
      </c>
      <c r="F21" s="252"/>
    </row>
    <row r="22" spans="1:7" ht="18" customHeight="1">
      <c r="B22" s="253"/>
      <c r="C22" s="254"/>
      <c r="D22" s="31"/>
      <c r="E22" s="254"/>
      <c r="F22" s="255"/>
    </row>
    <row r="23" spans="1:7" ht="18" customHeight="1">
      <c r="B23" s="247"/>
      <c r="C23" s="248"/>
      <c r="D23" s="28"/>
      <c r="E23" s="249"/>
      <c r="F23" s="250"/>
    </row>
    <row r="24" spans="1:7" ht="18" customHeight="1">
      <c r="B24" s="247"/>
      <c r="C24" s="248"/>
      <c r="D24" s="28"/>
      <c r="E24" s="249"/>
      <c r="F24" s="250"/>
    </row>
    <row r="25" spans="1:7" ht="18" customHeight="1">
      <c r="B25" s="247"/>
      <c r="C25" s="248"/>
      <c r="D25" s="28"/>
      <c r="E25" s="249"/>
      <c r="F25" s="250"/>
    </row>
    <row r="26" spans="1:7" ht="18" customHeight="1">
      <c r="B26" s="247"/>
      <c r="C26" s="248"/>
      <c r="D26" s="28"/>
      <c r="E26" s="249"/>
      <c r="F26" s="250"/>
    </row>
    <row r="27" spans="1:7" ht="18" customHeight="1">
      <c r="B27" s="45"/>
      <c r="C27" s="30"/>
      <c r="D27" s="28"/>
      <c r="E27" s="29"/>
      <c r="F27" s="46"/>
    </row>
    <row r="28" spans="1:7" ht="18" customHeight="1">
      <c r="B28" s="45"/>
      <c r="C28" s="30"/>
      <c r="D28" s="28"/>
      <c r="E28" s="29"/>
      <c r="F28" s="46"/>
    </row>
    <row r="29" spans="1:7" ht="18" customHeight="1">
      <c r="B29" s="45"/>
      <c r="C29" s="30"/>
      <c r="D29" s="28"/>
      <c r="E29" s="29"/>
      <c r="F29" s="46"/>
    </row>
    <row r="30" spans="1:7" ht="18" customHeight="1">
      <c r="B30" s="45"/>
      <c r="C30" s="30"/>
      <c r="D30" s="28"/>
      <c r="E30" s="29"/>
      <c r="F30" s="46"/>
    </row>
    <row r="31" spans="1:7" ht="18" customHeight="1">
      <c r="B31" s="45"/>
      <c r="C31" s="30"/>
      <c r="D31" s="28"/>
      <c r="E31" s="29"/>
      <c r="F31" s="46"/>
    </row>
    <row r="32" spans="1:7" ht="18" customHeight="1">
      <c r="B32" s="45"/>
      <c r="C32" s="30"/>
      <c r="D32" s="28"/>
      <c r="E32" s="29"/>
      <c r="F32" s="46"/>
    </row>
    <row r="33" spans="2:6" ht="18" customHeight="1">
      <c r="B33" s="45"/>
      <c r="C33" s="30"/>
      <c r="D33" s="28"/>
      <c r="E33" s="29"/>
      <c r="F33" s="46"/>
    </row>
    <row r="34" spans="2:6" ht="18" customHeight="1">
      <c r="B34" s="45"/>
      <c r="C34" s="30"/>
      <c r="D34" s="28"/>
      <c r="E34" s="29"/>
      <c r="F34" s="46"/>
    </row>
    <row r="35" spans="2:6" ht="18" customHeight="1">
      <c r="B35" s="45"/>
      <c r="C35" s="30"/>
      <c r="D35" s="28"/>
      <c r="E35" s="29"/>
      <c r="F35" s="46"/>
    </row>
    <row r="36" spans="2:6" ht="18" customHeight="1">
      <c r="B36" s="45"/>
      <c r="C36" s="30"/>
      <c r="D36" s="28"/>
      <c r="E36" s="29"/>
      <c r="F36" s="46"/>
    </row>
    <row r="37" spans="2:6" ht="18" customHeight="1">
      <c r="B37" s="247"/>
      <c r="C37" s="248"/>
      <c r="D37" s="28"/>
      <c r="E37" s="249"/>
      <c r="F37" s="250"/>
    </row>
    <row r="38" spans="2:6" ht="18" customHeight="1" thickBot="1">
      <c r="B38" s="247"/>
      <c r="C38" s="248"/>
      <c r="D38" s="28"/>
      <c r="E38" s="249"/>
      <c r="F38" s="250"/>
    </row>
    <row r="39" spans="2:6" ht="18" customHeight="1" thickBot="1">
      <c r="B39" s="251" t="s">
        <v>4048</v>
      </c>
      <c r="C39" s="252"/>
      <c r="D39" s="13" t="s">
        <v>4046</v>
      </c>
      <c r="E39" s="251" t="s">
        <v>4049</v>
      </c>
      <c r="F39" s="252"/>
    </row>
    <row r="40" spans="2:6" ht="18" customHeight="1">
      <c r="B40" s="45"/>
      <c r="C40" s="30"/>
      <c r="D40" s="28"/>
      <c r="E40" s="29"/>
      <c r="F40" s="46"/>
    </row>
    <row r="41" spans="2:6" ht="18" customHeight="1">
      <c r="B41" s="45"/>
      <c r="C41" s="30"/>
      <c r="D41" s="28"/>
      <c r="E41" s="29"/>
      <c r="F41" s="46"/>
    </row>
    <row r="42" spans="2:6" ht="18" customHeight="1">
      <c r="B42" s="45"/>
      <c r="C42" s="30"/>
      <c r="D42" s="28"/>
      <c r="E42" s="29"/>
      <c r="F42" s="46"/>
    </row>
    <row r="43" spans="2:6" ht="18" customHeight="1" thickBot="1">
      <c r="B43" s="247"/>
      <c r="C43" s="248"/>
      <c r="D43" s="28"/>
      <c r="E43" s="249"/>
      <c r="F43" s="250"/>
    </row>
    <row r="44" spans="2:6" ht="18" customHeight="1" thickBot="1">
      <c r="B44" s="251" t="s">
        <v>4050</v>
      </c>
      <c r="C44" s="252"/>
      <c r="D44" s="13" t="s">
        <v>4046</v>
      </c>
      <c r="E44" s="251" t="s">
        <v>4051</v>
      </c>
      <c r="F44" s="252"/>
    </row>
    <row r="45" spans="2:6" ht="18" customHeight="1">
      <c r="B45" s="45"/>
      <c r="C45" s="30"/>
      <c r="D45" s="28"/>
      <c r="E45" s="29"/>
      <c r="F45" s="46"/>
    </row>
    <row r="46" spans="2:6" ht="18" customHeight="1">
      <c r="B46" s="45"/>
      <c r="C46" s="30"/>
      <c r="D46" s="28"/>
      <c r="E46" s="29"/>
      <c r="F46" s="46"/>
    </row>
    <row r="47" spans="2:6" ht="18" customHeight="1">
      <c r="B47" s="247"/>
      <c r="C47" s="248"/>
      <c r="D47" s="28"/>
      <c r="E47" s="249"/>
      <c r="F47" s="250"/>
    </row>
    <row r="48" spans="2:6" ht="18" customHeight="1" thickBot="1">
      <c r="B48" s="256"/>
      <c r="C48" s="257"/>
      <c r="D48" s="47"/>
      <c r="E48" s="258"/>
      <c r="F48" s="259"/>
    </row>
    <row r="49" spans="2:2">
      <c r="B49" s="14"/>
    </row>
    <row r="50" spans="2:2">
      <c r="B50" s="15"/>
    </row>
    <row r="51" spans="2:2">
      <c r="B51" s="15"/>
    </row>
    <row r="52" spans="2:2">
      <c r="B52" s="15"/>
    </row>
    <row r="53" spans="2:2">
      <c r="B53" s="15"/>
    </row>
    <row r="54" spans="2:2">
      <c r="B54" s="15"/>
    </row>
    <row r="55" spans="2:2">
      <c r="B55" s="15"/>
    </row>
    <row r="56" spans="2:2">
      <c r="B56" s="15"/>
    </row>
    <row r="57" spans="2:2">
      <c r="B57" s="15"/>
    </row>
    <row r="58" spans="2:2">
      <c r="B58" s="15"/>
    </row>
    <row r="59" spans="2:2">
      <c r="B59" s="15"/>
    </row>
    <row r="60" spans="2:2">
      <c r="B60" s="15"/>
    </row>
    <row r="61" spans="2:2">
      <c r="B61" s="15"/>
    </row>
    <row r="62" spans="2:2">
      <c r="B62" s="15"/>
    </row>
    <row r="63" spans="2:2">
      <c r="B63" s="15"/>
    </row>
    <row r="64" spans="2:2">
      <c r="B64" s="15"/>
    </row>
    <row r="65" spans="2:2">
      <c r="B65" s="15"/>
    </row>
  </sheetData>
  <mergeCells count="52">
    <mergeCell ref="A8:D8"/>
    <mergeCell ref="A9:D12"/>
    <mergeCell ref="E8:G8"/>
    <mergeCell ref="E23:F23"/>
    <mergeCell ref="D19:E19"/>
    <mergeCell ref="E13:G13"/>
    <mergeCell ref="E9:G12"/>
    <mergeCell ref="A13:D13"/>
    <mergeCell ref="A14:D16"/>
    <mergeCell ref="A17:G17"/>
    <mergeCell ref="E14:G14"/>
    <mergeCell ref="E15:G15"/>
    <mergeCell ref="E16:G16"/>
    <mergeCell ref="B48:C48"/>
    <mergeCell ref="E48:F48"/>
    <mergeCell ref="B39:C39"/>
    <mergeCell ref="E39:F39"/>
    <mergeCell ref="B44:C44"/>
    <mergeCell ref="E44:F44"/>
    <mergeCell ref="B43:C43"/>
    <mergeCell ref="E43:F43"/>
    <mergeCell ref="B47:C47"/>
    <mergeCell ref="E47:F47"/>
    <mergeCell ref="B38:C38"/>
    <mergeCell ref="E38:F38"/>
    <mergeCell ref="B37:C37"/>
    <mergeCell ref="E37:F37"/>
    <mergeCell ref="I9:K10"/>
    <mergeCell ref="B24:C24"/>
    <mergeCell ref="E24:F24"/>
    <mergeCell ref="B25:C25"/>
    <mergeCell ref="E25:F25"/>
    <mergeCell ref="B26:C26"/>
    <mergeCell ref="E26:F26"/>
    <mergeCell ref="B21:C21"/>
    <mergeCell ref="E21:F21"/>
    <mergeCell ref="B22:C22"/>
    <mergeCell ref="E22:F22"/>
    <mergeCell ref="B23:C23"/>
    <mergeCell ref="I1:K2"/>
    <mergeCell ref="F6:G6"/>
    <mergeCell ref="B7:D7"/>
    <mergeCell ref="E7:F7"/>
    <mergeCell ref="I4:K5"/>
    <mergeCell ref="C1:E2"/>
    <mergeCell ref="A3:B3"/>
    <mergeCell ref="A4:B4"/>
    <mergeCell ref="A5:B5"/>
    <mergeCell ref="C3:D3"/>
    <mergeCell ref="C4:D4"/>
    <mergeCell ref="C5:D5"/>
    <mergeCell ref="C6:D6"/>
  </mergeCells>
  <printOptions horizontalCentered="1" verticalCentered="1"/>
  <pageMargins left="0.7" right="0.7" top="0.75" bottom="0.75" header="0.3" footer="0.3"/>
  <pageSetup scale="79" fitToHeight="0" orientation="landscape" r:id="rId1"/>
  <headerFooter>
    <oddFooter>&amp;LFRM-QA-002        &amp;N &amp;CRev 4&amp;RRev Date: 10 JUN 2024</oddFooter>
  </headerFooter>
  <rowBreaks count="1" manualBreakCount="1">
    <brk id="18" max="6" man="1"/>
  </rowBreaks>
  <customProperties>
    <customPr name="PolyworksSheetId" r:id="rId2"/>
  </customPropertie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DE349-4ACD-4175-8019-30D0D997C805}">
  <sheetPr>
    <tabColor rgb="FFFF0000"/>
    <pageSetUpPr fitToPage="1"/>
  </sheetPr>
  <dimension ref="A1:K69"/>
  <sheetViews>
    <sheetView zoomScaleNormal="100" zoomScaleSheetLayoutView="70" workbookViewId="0">
      <selection activeCell="H8" sqref="H8"/>
    </sheetView>
  </sheetViews>
  <sheetFormatPr defaultRowHeight="15"/>
  <cols>
    <col min="2" max="2" width="14.7109375" customWidth="1"/>
    <col min="3" max="3" width="28.5703125" customWidth="1"/>
    <col min="4" max="7" width="25.85546875" customWidth="1"/>
    <col min="8" max="8" width="15" customWidth="1"/>
  </cols>
  <sheetData>
    <row r="1" spans="1:11" s="12" customFormat="1" ht="27.75" customHeight="1">
      <c r="A1" s="325" t="s">
        <v>4052</v>
      </c>
      <c r="B1" s="326"/>
      <c r="C1" s="326"/>
      <c r="D1" s="326"/>
      <c r="E1" s="326"/>
      <c r="F1" s="326"/>
      <c r="G1" s="326"/>
    </row>
    <row r="2" spans="1:11" s="12" customFormat="1" ht="27.75" customHeight="1">
      <c r="A2" s="326"/>
      <c r="B2" s="326"/>
      <c r="C2" s="326"/>
      <c r="D2" s="326"/>
      <c r="E2" s="326"/>
      <c r="F2" s="326"/>
      <c r="G2" s="326"/>
    </row>
    <row r="3" spans="1:11" s="12" customFormat="1" ht="27.75" customHeight="1">
      <c r="A3" s="326"/>
      <c r="B3" s="326"/>
      <c r="C3" s="326"/>
      <c r="D3" s="326"/>
      <c r="E3" s="326"/>
      <c r="F3" s="326"/>
      <c r="G3" s="326"/>
    </row>
    <row r="4" spans="1:11" s="12" customFormat="1" ht="27.75" customHeight="1" thickBot="1">
      <c r="A4" s="326"/>
      <c r="B4" s="326"/>
      <c r="C4" s="326"/>
      <c r="D4" s="326"/>
      <c r="E4" s="326"/>
      <c r="F4" s="326"/>
      <c r="G4" s="326"/>
    </row>
    <row r="5" spans="1:11" ht="24" customHeight="1" thickTop="1" thickBot="1">
      <c r="C5" s="245" t="s">
        <v>39</v>
      </c>
      <c r="D5" s="245"/>
      <c r="E5" s="245"/>
      <c r="F5" s="16" t="s">
        <v>4027</v>
      </c>
      <c r="G5" s="50"/>
      <c r="I5" s="237" t="s">
        <v>4028</v>
      </c>
      <c r="J5" s="238"/>
      <c r="K5" s="239"/>
    </row>
    <row r="6" spans="1:11" ht="18" customHeight="1" thickTop="1" thickBot="1">
      <c r="C6" s="245"/>
      <c r="D6" s="245"/>
      <c r="E6" s="245"/>
      <c r="F6" s="16"/>
      <c r="G6" s="35"/>
      <c r="I6" s="240"/>
      <c r="J6" s="241"/>
      <c r="K6" s="242"/>
    </row>
    <row r="7" spans="1:11" s="39" customFormat="1" ht="19.149999999999999" customHeight="1">
      <c r="A7" s="246" t="s">
        <v>4029</v>
      </c>
      <c r="B7" s="246"/>
      <c r="C7" s="324" t="e">
        <f>VLOOKUP($G$5,'2025'!A3:T807,8)</f>
        <v>#N/A</v>
      </c>
      <c r="D7" s="324"/>
      <c r="E7" s="36" t="s">
        <v>4030</v>
      </c>
      <c r="F7" s="37" t="e">
        <f>VLOOKUP($G$5,'2025'!A3:T807,12)</f>
        <v>#N/A</v>
      </c>
      <c r="G7" s="38"/>
    </row>
    <row r="8" spans="1:11" s="39" customFormat="1" ht="19.149999999999999" customHeight="1">
      <c r="A8" s="246" t="s">
        <v>4031</v>
      </c>
      <c r="B8" s="246"/>
      <c r="C8" s="324" t="e">
        <f>VLOOKUP($G$5,'2025'!A3:T807,3)</f>
        <v>#N/A</v>
      </c>
      <c r="D8" s="324"/>
      <c r="E8" s="36" t="s">
        <v>4032</v>
      </c>
      <c r="F8" s="40" t="e">
        <f>VLOOKUP($G$5,'2025'!A3:T807,5)</f>
        <v>#N/A</v>
      </c>
      <c r="G8" s="38"/>
    </row>
    <row r="9" spans="1:11" s="39" customFormat="1" ht="19.149999999999999" customHeight="1">
      <c r="A9" s="246" t="s">
        <v>4034</v>
      </c>
      <c r="B9" s="246"/>
      <c r="C9" s="324" t="e">
        <f>VLOOKUP($G$5,'2025'!A3:T807,7)</f>
        <v>#N/A</v>
      </c>
      <c r="D9" s="324"/>
      <c r="E9" s="36" t="s">
        <v>4035</v>
      </c>
      <c r="F9" s="40" t="e">
        <f>VLOOKUP($G$5,'2025'!A3:T807,6)</f>
        <v>#N/A</v>
      </c>
      <c r="G9" s="38"/>
    </row>
    <row r="10" spans="1:11" s="39" customFormat="1" ht="19.149999999999999" customHeight="1">
      <c r="A10" s="44"/>
      <c r="B10" s="36" t="s">
        <v>4036</v>
      </c>
      <c r="C10" s="324" t="e">
        <f>VLOOKUP($G$5,'2025'!A3:T807,2)</f>
        <v>#N/A</v>
      </c>
      <c r="D10" s="324"/>
      <c r="E10" s="36" t="s">
        <v>4053</v>
      </c>
      <c r="F10" s="37" t="e">
        <f>VLOOKUP($G$5,'2025'!A3:T807,10)</f>
        <v>#N/A</v>
      </c>
      <c r="G10" s="38"/>
    </row>
    <row r="11" spans="1:11" ht="6" customHeight="1" thickBot="1">
      <c r="B11" s="244"/>
      <c r="C11" s="244"/>
      <c r="D11" s="244"/>
      <c r="E11" s="244"/>
      <c r="F11" s="244"/>
      <c r="G11" s="11"/>
      <c r="I11" s="49"/>
    </row>
    <row r="12" spans="1:11" ht="16.149999999999999" customHeight="1" thickBot="1">
      <c r="A12" s="307" t="s">
        <v>4038</v>
      </c>
      <c r="B12" s="308"/>
      <c r="C12" s="308"/>
      <c r="D12" s="309"/>
      <c r="E12" s="310"/>
      <c r="F12" s="311"/>
      <c r="G12" s="48"/>
    </row>
    <row r="13" spans="1:11" ht="76.900000000000006" customHeight="1">
      <c r="A13" s="312" t="e">
        <f>VLOOKUP($G$5,'2025'!A3:T807,11)</f>
        <v>#N/A</v>
      </c>
      <c r="B13" s="313"/>
      <c r="C13" s="313"/>
      <c r="D13" s="314"/>
      <c r="E13" s="315" t="e">
        <f>VLOOKUP($G$5,'2025'!A3:W807,14)</f>
        <v>#N/A</v>
      </c>
      <c r="F13" s="316"/>
      <c r="G13" s="317"/>
      <c r="I13" s="237" t="s">
        <v>4054</v>
      </c>
      <c r="J13" s="238"/>
      <c r="K13" s="239"/>
    </row>
    <row r="14" spans="1:11" ht="76.900000000000006" customHeight="1" thickBot="1">
      <c r="A14" s="312"/>
      <c r="B14" s="313"/>
      <c r="C14" s="313"/>
      <c r="D14" s="314"/>
      <c r="E14" s="318"/>
      <c r="F14" s="319"/>
      <c r="G14" s="320"/>
      <c r="I14" s="240"/>
      <c r="J14" s="241"/>
      <c r="K14" s="242"/>
    </row>
    <row r="15" spans="1:11" ht="76.900000000000006" customHeight="1">
      <c r="A15" s="312"/>
      <c r="B15" s="313"/>
      <c r="C15" s="313"/>
      <c r="D15" s="314"/>
      <c r="E15" s="318"/>
      <c r="F15" s="319"/>
      <c r="G15" s="320"/>
    </row>
    <row r="16" spans="1:11" ht="76.900000000000006" customHeight="1" thickBot="1">
      <c r="A16" s="312"/>
      <c r="B16" s="313"/>
      <c r="C16" s="313"/>
      <c r="D16" s="314"/>
      <c r="E16" s="321"/>
      <c r="F16" s="322"/>
      <c r="G16" s="323"/>
    </row>
    <row r="17" spans="1:7" ht="31.15" customHeight="1" thickBot="1">
      <c r="A17" s="270" t="s">
        <v>4041</v>
      </c>
      <c r="B17" s="271"/>
      <c r="C17" s="271"/>
      <c r="D17" s="283"/>
      <c r="E17" s="270" t="s">
        <v>4042</v>
      </c>
      <c r="F17" s="271"/>
      <c r="G17" s="283"/>
    </row>
    <row r="18" spans="1:7" ht="30.2" customHeight="1">
      <c r="A18" s="299" t="s">
        <v>4055</v>
      </c>
      <c r="B18" s="300"/>
      <c r="C18" s="300"/>
      <c r="D18" s="301"/>
      <c r="E18" s="305" t="s">
        <v>42</v>
      </c>
      <c r="F18" s="305"/>
      <c r="G18" s="305"/>
    </row>
    <row r="19" spans="1:7" ht="30.2" customHeight="1" thickBot="1">
      <c r="A19" s="302"/>
      <c r="B19" s="303"/>
      <c r="C19" s="303"/>
      <c r="D19" s="304"/>
      <c r="E19" s="306"/>
      <c r="F19" s="306"/>
      <c r="G19" s="306"/>
    </row>
    <row r="20" spans="1:7" ht="7.15" customHeight="1">
      <c r="B20" s="41"/>
      <c r="C20" s="41"/>
      <c r="D20" s="41"/>
      <c r="E20" s="42"/>
      <c r="F20" s="42"/>
      <c r="G20" s="42"/>
    </row>
    <row r="21" spans="1:7" ht="38.450000000000003" customHeight="1">
      <c r="B21" s="296" t="e" vm="1">
        <v>#VALUE!</v>
      </c>
      <c r="C21" s="296"/>
      <c r="D21" s="296"/>
      <c r="E21" s="296"/>
      <c r="F21" s="296"/>
      <c r="G21" s="296"/>
    </row>
    <row r="22" spans="1:7" ht="15.75" thickBot="1">
      <c r="B22" s="10"/>
      <c r="C22" s="10"/>
      <c r="D22" s="10"/>
      <c r="E22" s="10"/>
      <c r="F22" s="10"/>
      <c r="G22" s="43" t="s">
        <v>4043</v>
      </c>
    </row>
    <row r="23" spans="1:7" ht="24" customHeight="1" thickBot="1">
      <c r="C23" s="297" t="s">
        <v>4056</v>
      </c>
      <c r="D23" s="297"/>
      <c r="E23" s="297"/>
      <c r="F23" s="16" t="s">
        <v>4027</v>
      </c>
      <c r="G23" s="33">
        <f>G5</f>
        <v>0</v>
      </c>
    </row>
    <row r="24" spans="1:7" ht="24" customHeight="1" thickBot="1">
      <c r="B24" s="34"/>
      <c r="C24" s="298"/>
      <c r="D24" s="298"/>
      <c r="E24" s="297"/>
      <c r="F24" s="16"/>
      <c r="G24" s="32"/>
    </row>
    <row r="25" spans="1:7" ht="18" customHeight="1" thickBot="1">
      <c r="B25" s="251" t="s">
        <v>4045</v>
      </c>
      <c r="C25" s="252"/>
      <c r="D25" s="13" t="s">
        <v>4046</v>
      </c>
      <c r="E25" s="251" t="s">
        <v>4047</v>
      </c>
      <c r="F25" s="252"/>
    </row>
    <row r="26" spans="1:7" ht="18" customHeight="1">
      <c r="B26" s="253"/>
      <c r="C26" s="254"/>
      <c r="D26" s="31"/>
      <c r="E26" s="254"/>
      <c r="F26" s="255"/>
    </row>
    <row r="27" spans="1:7" ht="18" customHeight="1">
      <c r="B27" s="247"/>
      <c r="C27" s="248"/>
      <c r="D27" s="28"/>
      <c r="E27" s="249"/>
      <c r="F27" s="250"/>
    </row>
    <row r="28" spans="1:7" ht="18" customHeight="1">
      <c r="B28" s="247"/>
      <c r="C28" s="248"/>
      <c r="D28" s="28"/>
      <c r="E28" s="249"/>
      <c r="F28" s="250"/>
    </row>
    <row r="29" spans="1:7" ht="18" customHeight="1">
      <c r="B29" s="247"/>
      <c r="C29" s="248"/>
      <c r="D29" s="28"/>
      <c r="E29" s="249"/>
      <c r="F29" s="250"/>
    </row>
    <row r="30" spans="1:7" ht="18" customHeight="1">
      <c r="B30" s="247"/>
      <c r="C30" s="248"/>
      <c r="D30" s="28"/>
      <c r="E30" s="249"/>
      <c r="F30" s="250"/>
    </row>
    <row r="31" spans="1:7" ht="18" customHeight="1">
      <c r="B31" s="45"/>
      <c r="C31" s="30"/>
      <c r="D31" s="28"/>
      <c r="E31" s="29"/>
      <c r="F31" s="46"/>
    </row>
    <row r="32" spans="1:7" ht="18" customHeight="1">
      <c r="B32" s="45"/>
      <c r="C32" s="30"/>
      <c r="D32" s="28"/>
      <c r="E32" s="29"/>
      <c r="F32" s="46"/>
    </row>
    <row r="33" spans="2:6" ht="18" customHeight="1">
      <c r="B33" s="45"/>
      <c r="C33" s="30"/>
      <c r="D33" s="28"/>
      <c r="E33" s="29"/>
      <c r="F33" s="46"/>
    </row>
    <row r="34" spans="2:6" ht="18" customHeight="1">
      <c r="B34" s="45"/>
      <c r="C34" s="30"/>
      <c r="D34" s="28"/>
      <c r="E34" s="29"/>
      <c r="F34" s="46"/>
    </row>
    <row r="35" spans="2:6" ht="18" customHeight="1">
      <c r="B35" s="45"/>
      <c r="C35" s="30"/>
      <c r="D35" s="28"/>
      <c r="E35" s="29"/>
      <c r="F35" s="46"/>
    </row>
    <row r="36" spans="2:6" ht="18" customHeight="1">
      <c r="B36" s="45"/>
      <c r="C36" s="30"/>
      <c r="D36" s="28"/>
      <c r="E36" s="29"/>
      <c r="F36" s="46"/>
    </row>
    <row r="37" spans="2:6" ht="18" customHeight="1">
      <c r="B37" s="45"/>
      <c r="C37" s="30"/>
      <c r="D37" s="28"/>
      <c r="E37" s="29"/>
      <c r="F37" s="46"/>
    </row>
    <row r="38" spans="2:6" ht="18" customHeight="1">
      <c r="B38" s="45"/>
      <c r="C38" s="30"/>
      <c r="D38" s="28"/>
      <c r="E38" s="29"/>
      <c r="F38" s="46"/>
    </row>
    <row r="39" spans="2:6" ht="18" customHeight="1">
      <c r="B39" s="45"/>
      <c r="C39" s="30"/>
      <c r="D39" s="28"/>
      <c r="E39" s="29"/>
      <c r="F39" s="46"/>
    </row>
    <row r="40" spans="2:6" ht="18" customHeight="1">
      <c r="B40" s="45"/>
      <c r="C40" s="30"/>
      <c r="D40" s="28"/>
      <c r="E40" s="29"/>
      <c r="F40" s="46"/>
    </row>
    <row r="41" spans="2:6" ht="18" customHeight="1">
      <c r="B41" s="247"/>
      <c r="C41" s="248"/>
      <c r="D41" s="28"/>
      <c r="E41" s="249"/>
      <c r="F41" s="250"/>
    </row>
    <row r="42" spans="2:6" ht="18" customHeight="1" thickBot="1">
      <c r="B42" s="247"/>
      <c r="C42" s="248"/>
      <c r="D42" s="28"/>
      <c r="E42" s="249"/>
      <c r="F42" s="250"/>
    </row>
    <row r="43" spans="2:6" ht="18" customHeight="1" thickBot="1">
      <c r="B43" s="251" t="s">
        <v>4048</v>
      </c>
      <c r="C43" s="252"/>
      <c r="D43" s="13" t="s">
        <v>4046</v>
      </c>
      <c r="E43" s="251" t="s">
        <v>4049</v>
      </c>
      <c r="F43" s="252"/>
    </row>
    <row r="44" spans="2:6" ht="18" customHeight="1">
      <c r="B44" s="45"/>
      <c r="C44" s="30"/>
      <c r="D44" s="28"/>
      <c r="E44" s="29"/>
      <c r="F44" s="46"/>
    </row>
    <row r="45" spans="2:6" ht="18" customHeight="1">
      <c r="B45" s="45"/>
      <c r="C45" s="30"/>
      <c r="D45" s="28"/>
      <c r="E45" s="29"/>
      <c r="F45" s="46"/>
    </row>
    <row r="46" spans="2:6" ht="18" customHeight="1">
      <c r="B46" s="45"/>
      <c r="C46" s="30"/>
      <c r="D46" s="28"/>
      <c r="E46" s="29"/>
      <c r="F46" s="46"/>
    </row>
    <row r="47" spans="2:6" ht="18" customHeight="1" thickBot="1">
      <c r="B47" s="247"/>
      <c r="C47" s="248"/>
      <c r="D47" s="28"/>
      <c r="E47" s="249"/>
      <c r="F47" s="250"/>
    </row>
    <row r="48" spans="2:6" ht="18" customHeight="1" thickBot="1">
      <c r="B48" s="251" t="s">
        <v>4050</v>
      </c>
      <c r="C48" s="252"/>
      <c r="D48" s="13" t="s">
        <v>4046</v>
      </c>
      <c r="E48" s="251" t="s">
        <v>4051</v>
      </c>
      <c r="F48" s="252"/>
    </row>
    <row r="49" spans="2:6" ht="18" customHeight="1">
      <c r="B49" s="45"/>
      <c r="C49" s="30"/>
      <c r="D49" s="28"/>
      <c r="E49" s="29"/>
      <c r="F49" s="46"/>
    </row>
    <row r="50" spans="2:6" ht="18" customHeight="1">
      <c r="B50" s="45"/>
      <c r="C50" s="30"/>
      <c r="D50" s="28"/>
      <c r="E50" s="29"/>
      <c r="F50" s="46"/>
    </row>
    <row r="51" spans="2:6" ht="18" customHeight="1">
      <c r="B51" s="247"/>
      <c r="C51" s="248"/>
      <c r="D51" s="28"/>
      <c r="E51" s="249"/>
      <c r="F51" s="250"/>
    </row>
    <row r="52" spans="2:6" ht="18" customHeight="1" thickBot="1">
      <c r="B52" s="256"/>
      <c r="C52" s="257"/>
      <c r="D52" s="47"/>
      <c r="E52" s="258"/>
      <c r="F52" s="259"/>
    </row>
    <row r="53" spans="2:6">
      <c r="B53" s="14"/>
    </row>
    <row r="54" spans="2:6">
      <c r="B54" s="15"/>
    </row>
    <row r="55" spans="2:6">
      <c r="B55" s="15"/>
    </row>
    <row r="56" spans="2:6">
      <c r="B56" s="15"/>
    </row>
    <row r="57" spans="2:6">
      <c r="B57" s="15"/>
    </row>
    <row r="58" spans="2:6">
      <c r="B58" s="15"/>
    </row>
    <row r="59" spans="2:6">
      <c r="B59" s="15"/>
    </row>
    <row r="60" spans="2:6">
      <c r="B60" s="15"/>
    </row>
    <row r="61" spans="2:6">
      <c r="B61" s="15"/>
    </row>
    <row r="62" spans="2:6">
      <c r="B62" s="15"/>
    </row>
    <row r="63" spans="2:6">
      <c r="B63" s="15"/>
    </row>
    <row r="64" spans="2:6">
      <c r="B64" s="15"/>
    </row>
    <row r="65" spans="2:2">
      <c r="B65" s="15"/>
    </row>
    <row r="66" spans="2:2">
      <c r="B66" s="15"/>
    </row>
    <row r="67" spans="2:2">
      <c r="B67" s="15"/>
    </row>
    <row r="68" spans="2:2">
      <c r="B68" s="15"/>
    </row>
    <row r="69" spans="2:2">
      <c r="B69" s="15"/>
    </row>
  </sheetData>
  <mergeCells count="49">
    <mergeCell ref="A1:G4"/>
    <mergeCell ref="C5:E6"/>
    <mergeCell ref="I5:K6"/>
    <mergeCell ref="A7:B7"/>
    <mergeCell ref="C7:D7"/>
    <mergeCell ref="A12:D12"/>
    <mergeCell ref="E12:F12"/>
    <mergeCell ref="A13:D16"/>
    <mergeCell ref="E13:G16"/>
    <mergeCell ref="A8:B8"/>
    <mergeCell ref="C8:D8"/>
    <mergeCell ref="A9:B9"/>
    <mergeCell ref="C9:D9"/>
    <mergeCell ref="C10:D10"/>
    <mergeCell ref="B11:D11"/>
    <mergeCell ref="E11:F11"/>
    <mergeCell ref="I13:K14"/>
    <mergeCell ref="A17:D17"/>
    <mergeCell ref="E17:G17"/>
    <mergeCell ref="B21:G21"/>
    <mergeCell ref="C23:E24"/>
    <mergeCell ref="A18:D19"/>
    <mergeCell ref="E18:G19"/>
    <mergeCell ref="B25:C25"/>
    <mergeCell ref="E25:F25"/>
    <mergeCell ref="B26:C26"/>
    <mergeCell ref="E26:F26"/>
    <mergeCell ref="B27:C27"/>
    <mergeCell ref="E27:F27"/>
    <mergeCell ref="B28:C28"/>
    <mergeCell ref="E28:F28"/>
    <mergeCell ref="B29:C29"/>
    <mergeCell ref="E29:F29"/>
    <mergeCell ref="B30:C30"/>
    <mergeCell ref="E30:F30"/>
    <mergeCell ref="B41:C41"/>
    <mergeCell ref="E41:F41"/>
    <mergeCell ref="B42:C42"/>
    <mergeCell ref="E42:F42"/>
    <mergeCell ref="B51:C51"/>
    <mergeCell ref="E51:F51"/>
    <mergeCell ref="B52:C52"/>
    <mergeCell ref="E52:F52"/>
    <mergeCell ref="B43:C43"/>
    <mergeCell ref="E43:F43"/>
    <mergeCell ref="B47:C47"/>
    <mergeCell ref="E47:F47"/>
    <mergeCell ref="B48:C48"/>
    <mergeCell ref="E48:F48"/>
  </mergeCells>
  <printOptions horizontalCentered="1" verticalCentered="1"/>
  <pageMargins left="0.7" right="0.7" top="0.75" bottom="0.75" header="0.3" footer="0.3"/>
  <pageSetup scale="78" fitToHeight="0" orientation="landscape" r:id="rId1"/>
  <headerFooter>
    <oddFooter>&amp;LFRM-QA-002&amp;CRev 4&amp;RRev Date: 10 JUN 2024</oddFooter>
  </headerFooter>
  <rowBreaks count="1" manualBreakCount="1">
    <brk id="22" max="6" man="1"/>
  </rowBreaks>
  <customProperties>
    <customPr name="PolyworksSheet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38"/>
  <sheetViews>
    <sheetView workbookViewId="0"/>
  </sheetViews>
  <sheetFormatPr defaultRowHeight="15"/>
  <cols>
    <col min="2" max="2" width="14.28515625" customWidth="1"/>
    <col min="3" max="3" width="24.5703125" customWidth="1"/>
  </cols>
  <sheetData>
    <row r="2" spans="2:3" ht="15.75" thickBot="1"/>
    <row r="3" spans="2:3">
      <c r="B3" s="327" t="s">
        <v>4057</v>
      </c>
      <c r="C3" s="1" t="s">
        <v>71</v>
      </c>
    </row>
    <row r="4" spans="2:3">
      <c r="B4" s="328"/>
      <c r="C4" s="2" t="s">
        <v>4058</v>
      </c>
    </row>
    <row r="5" spans="2:3">
      <c r="B5" s="328"/>
      <c r="C5" s="2" t="s">
        <v>4059</v>
      </c>
    </row>
    <row r="6" spans="2:3">
      <c r="B6" s="328"/>
      <c r="C6" s="2" t="s">
        <v>108</v>
      </c>
    </row>
    <row r="7" spans="2:3">
      <c r="B7" s="328"/>
      <c r="C7" s="2" t="s">
        <v>40</v>
      </c>
    </row>
    <row r="8" spans="2:3">
      <c r="B8" s="328"/>
      <c r="C8" s="2" t="s">
        <v>54</v>
      </c>
    </row>
    <row r="9" spans="2:3">
      <c r="B9" s="328"/>
      <c r="C9" s="2" t="s">
        <v>4060</v>
      </c>
    </row>
    <row r="10" spans="2:3">
      <c r="B10" s="328"/>
      <c r="C10" s="2" t="s">
        <v>60</v>
      </c>
    </row>
    <row r="11" spans="2:3">
      <c r="B11" s="328"/>
      <c r="C11" s="2" t="s">
        <v>4061</v>
      </c>
    </row>
    <row r="12" spans="2:3">
      <c r="B12" s="328"/>
      <c r="C12" s="2" t="s">
        <v>2250</v>
      </c>
    </row>
    <row r="13" spans="2:3">
      <c r="B13" s="328"/>
      <c r="C13" s="2" t="s">
        <v>279</v>
      </c>
    </row>
    <row r="14" spans="2:3">
      <c r="B14" s="328"/>
      <c r="C14" s="2" t="s">
        <v>48</v>
      </c>
    </row>
    <row r="15" spans="2:3">
      <c r="B15" s="328"/>
      <c r="C15" s="2" t="s">
        <v>2136</v>
      </c>
    </row>
    <row r="16" spans="2:3">
      <c r="B16" s="328"/>
      <c r="C16" s="2" t="s">
        <v>2589</v>
      </c>
    </row>
    <row r="17" spans="2:3">
      <c r="B17" s="328"/>
      <c r="C17" s="2" t="s">
        <v>252</v>
      </c>
    </row>
    <row r="18" spans="2:3">
      <c r="B18" s="328"/>
      <c r="C18" s="2" t="s">
        <v>4062</v>
      </c>
    </row>
    <row r="19" spans="2:3">
      <c r="B19" s="328"/>
      <c r="C19" s="2" t="s">
        <v>4063</v>
      </c>
    </row>
    <row r="20" spans="2:3">
      <c r="B20" s="328"/>
      <c r="C20" s="2" t="s">
        <v>4064</v>
      </c>
    </row>
    <row r="21" spans="2:3">
      <c r="B21" s="328"/>
      <c r="C21" s="2" t="s">
        <v>4065</v>
      </c>
    </row>
    <row r="22" spans="2:3">
      <c r="B22" s="328"/>
      <c r="C22" s="2" t="s">
        <v>4066</v>
      </c>
    </row>
    <row r="23" spans="2:3">
      <c r="B23" s="328"/>
      <c r="C23" s="2" t="s">
        <v>354</v>
      </c>
    </row>
    <row r="24" spans="2:3">
      <c r="B24" s="328"/>
      <c r="C24" s="2" t="s">
        <v>4067</v>
      </c>
    </row>
    <row r="25" spans="2:3">
      <c r="B25" s="328"/>
      <c r="C25" s="2" t="s">
        <v>4068</v>
      </c>
    </row>
    <row r="26" spans="2:3">
      <c r="B26" s="328"/>
      <c r="C26" s="2" t="s">
        <v>4069</v>
      </c>
    </row>
    <row r="27" spans="2:3">
      <c r="B27" s="328"/>
      <c r="C27" s="2" t="s">
        <v>4070</v>
      </c>
    </row>
    <row r="28" spans="2:3">
      <c r="B28" s="328"/>
      <c r="C28" s="2" t="s">
        <v>4071</v>
      </c>
    </row>
    <row r="29" spans="2:3">
      <c r="B29" s="328"/>
      <c r="C29" s="2" t="s">
        <v>4072</v>
      </c>
    </row>
    <row r="30" spans="2:3">
      <c r="B30" s="328"/>
      <c r="C30" s="2" t="s">
        <v>4073</v>
      </c>
    </row>
    <row r="31" spans="2:3">
      <c r="B31" s="328"/>
      <c r="C31" s="2" t="s">
        <v>4074</v>
      </c>
    </row>
    <row r="32" spans="2:3">
      <c r="B32" s="328"/>
      <c r="C32" s="2" t="s">
        <v>4075</v>
      </c>
    </row>
    <row r="33" spans="2:3">
      <c r="B33" s="328"/>
      <c r="C33" s="2" t="s">
        <v>4076</v>
      </c>
    </row>
    <row r="34" spans="2:3">
      <c r="B34" s="328"/>
      <c r="C34" s="2" t="s">
        <v>4077</v>
      </c>
    </row>
    <row r="35" spans="2:3">
      <c r="B35" s="328"/>
      <c r="C35" s="2" t="s">
        <v>4078</v>
      </c>
    </row>
    <row r="36" spans="2:3">
      <c r="B36" s="328"/>
      <c r="C36" s="3" t="s">
        <v>4079</v>
      </c>
    </row>
    <row r="37" spans="2:3">
      <c r="B37" s="328"/>
      <c r="C37" s="3" t="s">
        <v>4080</v>
      </c>
    </row>
    <row r="38" spans="2:3" ht="15.75" thickBot="1">
      <c r="B38" s="329"/>
      <c r="C38" s="4" t="s">
        <v>491</v>
      </c>
    </row>
  </sheetData>
  <mergeCells count="1">
    <mergeCell ref="B3:B38"/>
  </mergeCells>
  <pageMargins left="0.7" right="0.7" top="0.75" bottom="0.75" header="0.3" footer="0.3"/>
  <customProperties>
    <customPr name="PolyworksSheet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94CD76A1A32E14CA06544078664D6CA" ma:contentTypeVersion="6" ma:contentTypeDescription="Create a new document." ma:contentTypeScope="" ma:versionID="659a610a83ed1094ff29c9a508e44518">
  <xsd:schema xmlns:xsd="http://www.w3.org/2001/XMLSchema" xmlns:xs="http://www.w3.org/2001/XMLSchema" xmlns:p="http://schemas.microsoft.com/office/2006/metadata/properties" xmlns:ns2="1637c402-6125-4b2f-ad5e-fd252e284817" xmlns:ns3="12c8107e-bb4d-460b-970f-9cfdfe3ead54" targetNamespace="http://schemas.microsoft.com/office/2006/metadata/properties" ma:root="true" ma:fieldsID="c76849427529df635f185addfaa1af9b" ns2:_="" ns3:_="">
    <xsd:import namespace="1637c402-6125-4b2f-ad5e-fd252e284817"/>
    <xsd:import namespace="12c8107e-bb4d-460b-970f-9cfdfe3ead5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37c402-6125-4b2f-ad5e-fd252e2848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c8107e-bb4d-460b-970f-9cfdfe3ead5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ReportLoop>
  <AddInVersion year="22" major="6" minor="0" build="6027"/>
  <DataVersion major="1" minor="0"> </DataVersion>
  <Snapshots>
    <Version>1</Version>
  </Snapshots>
  <ProjectData>
    <Version/>
    <Workspaces/>
  </ProjectData>
</ReportLoop>
</file>

<file path=customXml/itemProps1.xml><?xml version="1.0" encoding="utf-8"?>
<ds:datastoreItem xmlns:ds="http://schemas.openxmlformats.org/officeDocument/2006/customXml" ds:itemID="{A8AEFBD4-9284-46DC-B930-30E07EACB12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69EA4C2-C6E5-47F5-96E9-47EE3F1AD6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37c402-6125-4b2f-ad5e-fd252e284817"/>
    <ds:schemaRef ds:uri="12c8107e-bb4d-460b-970f-9cfdfe3ead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2247CAD-D88B-442F-993E-EAB71E9BE1EB}">
  <ds:schemaRefs>
    <ds:schemaRef ds:uri="http://schemas.microsoft.com/sharepoint/v3/contenttype/forms"/>
  </ds:schemaRefs>
</ds:datastoreItem>
</file>

<file path=customXml/itemProps4.xml><?xml version="1.0" encoding="utf-8"?>
<ds:datastoreItem xmlns:ds="http://schemas.openxmlformats.org/officeDocument/2006/customXml" ds:itemID="{712EC071-FD4A-4A60-A7DD-A5117F8CBC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2025</vt:lpstr>
      <vt:lpstr>AUTO QUALITY ALERT FORM</vt:lpstr>
      <vt:lpstr>HIDE (BACK UP AUTO FORM)</vt:lpstr>
      <vt:lpstr>Lists</vt:lpstr>
      <vt:lpstr>AlertRange</vt:lpstr>
      <vt:lpstr>'AUTO QUALITY ALERT FORM'!Print_Area</vt:lpstr>
      <vt:lpstr>'HIDE (BACK UP AUTO FORM)'!Print_Area</vt:lpstr>
      <vt:lpstr>'2025'!Print_Titles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Manson</dc:creator>
  <cp:keywords/>
  <dc:description/>
  <cp:lastModifiedBy>Yingman Cheng</cp:lastModifiedBy>
  <cp:revision/>
  <cp:lastPrinted>2025-12-29T21:57:00Z</cp:lastPrinted>
  <dcterms:created xsi:type="dcterms:W3CDTF">2016-12-06T15:43:41Z</dcterms:created>
  <dcterms:modified xsi:type="dcterms:W3CDTF">2025-12-29T22:00:59Z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0x010100F94CD76A1A32E14CA06544078664D6CA</vt:lpwstr>
  </property>
</Properties>
</file>